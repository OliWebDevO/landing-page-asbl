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2" firstSheet="0" activeTab="0" autoFilterDateGrouping="1"/>
  </bookViews>
  <sheets>
    <sheet xmlns:r="http://schemas.openxmlformats.org/officeDocument/2006/relationships" name="1. Calcul de Marge Brute" sheetId="1" state="visible" r:id="rId1"/>
    <sheet xmlns:r="http://schemas.openxmlformats.org/officeDocument/2006/relationships" name="2. Détail prévisionnel ventes  " sheetId="2" state="visible" r:id="rId2"/>
    <sheet xmlns:r="http://schemas.openxmlformats.org/officeDocument/2006/relationships" name="3. test détail ventes réalisées" sheetId="3" state="visible" r:id="rId3"/>
    <sheet xmlns:r="http://schemas.openxmlformats.org/officeDocument/2006/relationships" name="4. Vue globale  MB mensuels " sheetId="4" state="visible" r:id="rId4"/>
    <sheet xmlns:r="http://schemas.openxmlformats.org/officeDocument/2006/relationships" name="Feuil1" sheetId="5" state="visible" r:id="rId5"/>
    <sheet xmlns:r="http://schemas.openxmlformats.org/officeDocument/2006/relationships" name="Feuil2" sheetId="6" state="visible" r:id="rId6"/>
  </sheets>
  <definedNames>
    <definedName name="CH_APP">'4. Vue globale  MB mensuels '!$B$5</definedName>
    <definedName name="P_V">'4. Vue globale  MB mensuels '!$B$19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#,##0\ &quot;€&quot;;[Red]\-#,##0\ &quot;€&quot;"/>
    <numFmt numFmtId="165" formatCode="#,##0_ ;\-#,##0\ "/>
    <numFmt numFmtId="166" formatCode="#,##0.00\ &quot;€&quot;"/>
    <numFmt numFmtId="167" formatCode="#,##0\ &quot;€&quot;"/>
  </numFmts>
  <fonts count="26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8"/>
    </font>
    <font>
      <name val="Arial"/>
      <family val="2"/>
      <sz val="8"/>
    </font>
    <font>
      <name val="Arial"/>
      <family val="2"/>
      <sz val="11"/>
    </font>
    <font>
      <name val="Arial"/>
      <family val="2"/>
      <sz val="10"/>
    </font>
    <font>
      <name val="Arial"/>
      <family val="2"/>
      <b val="1"/>
      <sz val="14"/>
      <u val="single"/>
    </font>
    <font>
      <name val="Arial"/>
      <family val="2"/>
      <b val="1"/>
      <sz val="8"/>
    </font>
    <font>
      <name val="Calibri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Calibri"/>
      <family val="2"/>
      <color indexed="8"/>
      <sz val="14"/>
    </font>
    <font>
      <name val="Arial"/>
      <family val="2"/>
      <b val="1"/>
      <sz val="9"/>
    </font>
    <font>
      <name val="Arial"/>
      <family val="2"/>
      <b val="1"/>
      <sz val="14"/>
    </font>
    <font>
      <name val="Verdana"/>
      <family val="2"/>
      <sz val="8"/>
    </font>
    <font>
      <name val="Arial"/>
      <family val="2"/>
      <color rgb="FFFF0000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Arial"/>
      <family val="2"/>
      <b val="1"/>
      <color rgb="FFFF0000"/>
      <sz val="10"/>
    </font>
    <font>
      <name val="Century Gothic"/>
      <family val="2"/>
      <color theme="1"/>
      <sz val="11"/>
    </font>
    <font>
      <name val="Arial"/>
      <family val="2"/>
      <color theme="1"/>
      <sz val="10"/>
    </font>
    <font>
      <name val="Century Gothic"/>
      <family val="1"/>
      <sz val="11"/>
    </font>
    <font>
      <name val="Arial"/>
      <family val="2"/>
      <b val="1"/>
      <color theme="4"/>
      <sz val="14"/>
    </font>
    <font>
      <name val="Tahoma"/>
      <family val="2"/>
      <b val="1"/>
      <sz val="9"/>
    </font>
    <font>
      <name val="Tahoma"/>
      <family val="2"/>
      <sz val="9"/>
    </font>
    <font>
      <name val="Calibri"/>
      <family val="2"/>
      <b val="1"/>
      <color rgb="FFFF0000"/>
      <sz val="11"/>
    </font>
  </fonts>
  <fills count="11">
    <fill>
      <patternFill/>
    </fill>
    <fill>
      <patternFill patternType="gray125"/>
    </fill>
    <fill>
      <patternFill patternType="solid">
        <fgColor rgb="FFCC99FF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164" fontId="0" fillId="0" borderId="0" pivotButton="0" quotePrefix="0" xfId="0"/>
    <xf numFmtId="0" fontId="1" fillId="0" borderId="4" pivotButton="0" quotePrefix="0" xfId="0"/>
    <xf numFmtId="0" fontId="1" fillId="0" borderId="5" pivotButton="0" quotePrefix="0" xfId="0"/>
    <xf numFmtId="0" fontId="8" fillId="0" borderId="0" pivotButton="0" quotePrefix="0" xfId="0"/>
    <xf numFmtId="0" fontId="1" fillId="2" borderId="6" pivotButton="0" quotePrefix="0" xfId="0"/>
    <xf numFmtId="0" fontId="1" fillId="2" borderId="4" pivotButton="0" quotePrefix="0" xfId="0"/>
    <xf numFmtId="0" fontId="1" fillId="2" borderId="7" pivotButton="0" quotePrefix="0" xfId="0"/>
    <xf numFmtId="0" fontId="5" fillId="0" borderId="0" applyAlignment="1" pivotButton="0" quotePrefix="0" xfId="0">
      <alignment vertical="top"/>
    </xf>
    <xf numFmtId="164" fontId="8" fillId="0" borderId="8" applyAlignment="1" pivotButton="0" quotePrefix="0" xfId="0">
      <alignment horizontal="center" vertical="center" textRotation="75"/>
    </xf>
    <xf numFmtId="164" fontId="8" fillId="0" borderId="9" applyAlignment="1" pivotButton="0" quotePrefix="0" xfId="0">
      <alignment horizontal="center" vertical="center" textRotation="165"/>
    </xf>
    <xf numFmtId="164" fontId="8" fillId="0" borderId="9" applyAlignment="1" pivotButton="0" quotePrefix="0" xfId="0">
      <alignment horizontal="center" vertical="center" textRotation="164"/>
    </xf>
    <xf numFmtId="0" fontId="1" fillId="3" borderId="6" pivotButton="0" quotePrefix="0" xfId="0"/>
    <xf numFmtId="0" fontId="1" fillId="3" borderId="4" pivotButton="0" quotePrefix="0" xfId="0"/>
    <xf numFmtId="0" fontId="1" fillId="3" borderId="7" pivotButton="0" quotePrefix="0" xfId="0"/>
    <xf numFmtId="0" fontId="4" fillId="0" borderId="0" pivotButton="0" quotePrefix="0" xfId="0"/>
    <xf numFmtId="0" fontId="6" fillId="0" borderId="0" pivotButton="0" quotePrefix="0" xfId="0"/>
    <xf numFmtId="164" fontId="8" fillId="0" borderId="10" applyAlignment="1" pivotButton="0" quotePrefix="0" xfId="0">
      <alignment horizontal="center" vertical="center" textRotation="75"/>
    </xf>
    <xf numFmtId="0" fontId="0" fillId="0" borderId="11" pivotButton="0" quotePrefix="0" xfId="0"/>
    <xf numFmtId="0" fontId="0" fillId="0" borderId="12" pivotButton="0" quotePrefix="0" xfId="0"/>
    <xf numFmtId="0" fontId="9" fillId="0" borderId="3" applyAlignment="1" pivotButton="0" quotePrefix="0" xfId="0">
      <alignment horizontal="center"/>
    </xf>
    <xf numFmtId="0" fontId="10" fillId="0" borderId="15" applyAlignment="1" pivotButton="0" quotePrefix="0" xfId="0">
      <alignment wrapText="1"/>
    </xf>
    <xf numFmtId="0" fontId="0" fillId="0" borderId="18" pivotButton="0" quotePrefix="0" xfId="0"/>
    <xf numFmtId="0" fontId="0" fillId="0" borderId="19" pivotButton="0" quotePrefix="0" xfId="0"/>
    <xf numFmtId="0" fontId="10" fillId="0" borderId="3" pivotButton="0" quotePrefix="0" xfId="0"/>
    <xf numFmtId="0" fontId="0" fillId="0" borderId="1" pivotButton="0" quotePrefix="0" xfId="0"/>
    <xf numFmtId="0" fontId="9" fillId="0" borderId="3" pivotButton="0" quotePrefix="0" xfId="0"/>
    <xf numFmtId="0" fontId="1" fillId="0" borderId="15" pivotButton="0" quotePrefix="0" xfId="0"/>
    <xf numFmtId="0" fontId="1" fillId="4" borderId="15" pivotButton="0" quotePrefix="0" xfId="0"/>
    <xf numFmtId="0" fontId="1" fillId="0" borderId="16" pivotButton="0" quotePrefix="0" xfId="0"/>
    <xf numFmtId="0" fontId="0" fillId="0" borderId="9" pivotButton="0" quotePrefix="0" xfId="0"/>
    <xf numFmtId="3" fontId="12" fillId="0" borderId="9" pivotButton="0" quotePrefix="0" xfId="0"/>
    <xf numFmtId="0" fontId="13" fillId="0" borderId="0" pivotButton="0" quotePrefix="0" xfId="0"/>
    <xf numFmtId="0" fontId="12" fillId="0" borderId="19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2" fontId="12" fillId="0" borderId="19" applyAlignment="1" pivotButton="0" quotePrefix="0" xfId="0">
      <alignment horizontal="center"/>
    </xf>
    <xf numFmtId="2" fontId="15" fillId="0" borderId="0" applyAlignment="1" pivotButton="0" quotePrefix="0" xfId="0">
      <alignment horizontal="center"/>
    </xf>
    <xf numFmtId="3" fontId="0" fillId="5" borderId="9" pivotButton="0" quotePrefix="0" xfId="0"/>
    <xf numFmtId="1" fontId="0" fillId="5" borderId="9" pivotButton="0" quotePrefix="0" xfId="0"/>
    <xf numFmtId="0" fontId="15" fillId="0" borderId="0" pivotButton="0" quotePrefix="0" xfId="0"/>
    <xf numFmtId="0" fontId="12" fillId="5" borderId="19" applyAlignment="1" pivotButton="0" quotePrefix="0" xfId="0">
      <alignment horizontal="center"/>
    </xf>
    <xf numFmtId="0" fontId="0" fillId="5" borderId="0" pivotButton="0" quotePrefix="0" xfId="0"/>
    <xf numFmtId="0" fontId="18" fillId="0" borderId="0" pivotButton="0" quotePrefix="0" xfId="0"/>
    <xf numFmtId="165" fontId="19" fillId="5" borderId="9" applyAlignment="1" pivotButton="0" quotePrefix="0" xfId="0">
      <alignment horizontal="center"/>
    </xf>
    <xf numFmtId="0" fontId="0" fillId="6" borderId="16" pivotButton="0" quotePrefix="0" xfId="0"/>
    <xf numFmtId="0" fontId="0" fillId="6" borderId="15" applyAlignment="1" pivotButton="0" quotePrefix="0" xfId="0">
      <alignment horizontal="center" vertical="center"/>
    </xf>
    <xf numFmtId="0" fontId="0" fillId="6" borderId="20" pivotButton="0" quotePrefix="0" xfId="0"/>
    <xf numFmtId="0" fontId="0" fillId="6" borderId="21" pivotButton="0" quotePrefix="0" xfId="0"/>
    <xf numFmtId="1" fontId="0" fillId="6" borderId="21" pivotButton="0" quotePrefix="0" xfId="0"/>
    <xf numFmtId="2" fontId="12" fillId="4" borderId="15" pivotButton="0" quotePrefix="0" xfId="0"/>
    <xf numFmtId="2" fontId="12" fillId="4" borderId="9" pivotButton="0" quotePrefix="0" xfId="0"/>
    <xf numFmtId="2" fontId="12" fillId="0" borderId="9" pivotButton="0" quotePrefix="0" xfId="0"/>
    <xf numFmtId="2" fontId="0" fillId="0" borderId="0" pivotButton="0" quotePrefix="0" xfId="0"/>
    <xf numFmtId="2" fontId="0" fillId="6" borderId="21" pivotButton="0" quotePrefix="0" xfId="0"/>
    <xf numFmtId="166" fontId="0" fillId="5" borderId="9" applyAlignment="1" pivotButton="0" quotePrefix="0" xfId="0">
      <alignment horizontal="center"/>
    </xf>
    <xf numFmtId="166" fontId="6" fillId="5" borderId="9" applyAlignment="1" pivotButton="0" quotePrefix="0" xfId="0">
      <alignment horizontal="center"/>
    </xf>
    <xf numFmtId="166" fontId="20" fillId="5" borderId="9" applyAlignment="1" pivotButton="0" quotePrefix="0" xfId="0">
      <alignment horizontal="center"/>
    </xf>
    <xf numFmtId="166" fontId="19" fillId="5" borderId="9" applyAlignment="1" pivotButton="0" quotePrefix="0" xfId="0">
      <alignment horizontal="center" vertical="center"/>
    </xf>
    <xf numFmtId="166" fontId="0" fillId="5" borderId="9" pivotButton="0" quotePrefix="0" xfId="0"/>
    <xf numFmtId="49" fontId="21" fillId="5" borderId="9" applyAlignment="1" pivotButton="0" quotePrefix="0" xfId="0">
      <alignment horizontal="left"/>
    </xf>
    <xf numFmtId="167" fontId="6" fillId="5" borderId="9" applyAlignment="1" pivotButton="0" quotePrefix="0" xfId="0">
      <alignment horizontal="left"/>
    </xf>
    <xf numFmtId="9" fontId="0" fillId="7" borderId="0" applyAlignment="1" pivotButton="0" quotePrefix="0" xfId="0">
      <alignment horizontal="center"/>
    </xf>
    <xf numFmtId="9" fontId="0" fillId="8" borderId="0" applyAlignment="1" pivotButton="0" quotePrefix="0" xfId="0">
      <alignment horizontal="center"/>
    </xf>
    <xf numFmtId="9" fontId="0" fillId="9" borderId="0" applyAlignment="1" pivotButton="0" quotePrefix="0" xfId="0">
      <alignment horizontal="center"/>
    </xf>
    <xf numFmtId="0" fontId="15" fillId="0" borderId="0" applyAlignment="1" pivotButton="0" quotePrefix="0" xfId="0">
      <alignment wrapText="1"/>
    </xf>
    <xf numFmtId="0" fontId="22" fillId="0" borderId="0" pivotButton="0" quotePrefix="0" xfId="0"/>
    <xf numFmtId="0" fontId="6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18" fillId="0" borderId="0" applyAlignment="1" pivotButton="0" quotePrefix="0" xfId="0">
      <alignment horizontal="center" vertical="top" wrapText="1"/>
    </xf>
    <xf numFmtId="0" fontId="0" fillId="10" borderId="0" pivotButton="0" quotePrefix="0" xfId="0"/>
    <xf numFmtId="0" fontId="25" fillId="0" borderId="22" applyAlignment="1" pivotButton="0" quotePrefix="0" xfId="0">
      <alignment horizontal="center" wrapText="1"/>
    </xf>
    <xf numFmtId="0" fontId="6" fillId="0" borderId="0" applyAlignment="1" pivotButton="0" quotePrefix="0" xfId="0">
      <alignment horizontal="left" wrapText="1"/>
    </xf>
    <xf numFmtId="17" fontId="1" fillId="5" borderId="13" applyAlignment="1" pivotButton="0" quotePrefix="0" xfId="0">
      <alignment horizontal="center"/>
    </xf>
    <xf numFmtId="17" fontId="1" fillId="5" borderId="14" applyAlignment="1" pivotButton="0" quotePrefix="0" xfId="0">
      <alignment horizontal="center"/>
    </xf>
    <xf numFmtId="0" fontId="11" fillId="0" borderId="16" applyAlignment="1" pivotButton="0" quotePrefix="1" xfId="0">
      <alignment horizontal="center"/>
    </xf>
    <xf numFmtId="0" fontId="11" fillId="0" borderId="17" applyAlignment="1" pivotButton="0" quotePrefix="1" xfId="0">
      <alignment horizontal="center"/>
    </xf>
    <xf numFmtId="0" fontId="2" fillId="0" borderId="0" pivotButton="0" quotePrefix="0" xfId="0"/>
    <xf numFmtId="0" fontId="6" fillId="2" borderId="3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167" fontId="6" fillId="5" borderId="9" applyAlignment="1" pivotButton="0" quotePrefix="0" xfId="0">
      <alignment horizontal="left"/>
    </xf>
    <xf numFmtId="17" fontId="1" fillId="5" borderId="26" applyAlignment="1" pivotButton="0" quotePrefix="0" xfId="0">
      <alignment horizontal="center"/>
    </xf>
    <xf numFmtId="0" fontId="0" fillId="0" borderId="14" pivotButton="0" quotePrefix="0" xfId="0"/>
    <xf numFmtId="0" fontId="11" fillId="0" borderId="23" applyAlignment="1" pivotButton="0" quotePrefix="1" xfId="0">
      <alignment horizontal="center"/>
    </xf>
    <xf numFmtId="0" fontId="0" fillId="0" borderId="17" pivotButton="0" quotePrefix="0" xfId="0"/>
    <xf numFmtId="164" fontId="8" fillId="0" borderId="8" applyAlignment="1" pivotButton="0" quotePrefix="0" xfId="0">
      <alignment horizontal="center" vertical="center" textRotation="75"/>
    </xf>
    <xf numFmtId="164" fontId="0" fillId="0" borderId="0" pivotButton="0" quotePrefix="0" xfId="0"/>
    <xf numFmtId="164" fontId="8" fillId="0" borderId="10" applyAlignment="1" pivotButton="0" quotePrefix="0" xfId="0">
      <alignment horizontal="center" vertical="center" textRotation="75"/>
    </xf>
    <xf numFmtId="0" fontId="6" fillId="2" borderId="28" applyAlignment="1" pivotButton="0" quotePrefix="0" xfId="0">
      <alignment horizontal="center"/>
    </xf>
    <xf numFmtId="0" fontId="0" fillId="0" borderId="2" pivotButton="0" quotePrefix="0" xfId="0"/>
    <xf numFmtId="0" fontId="6" fillId="0" borderId="28" applyAlignment="1" pivotButton="0" quotePrefix="0" xfId="0">
      <alignment horizontal="center"/>
    </xf>
    <xf numFmtId="164" fontId="8" fillId="0" borderId="9" applyAlignment="1" pivotButton="0" quotePrefix="0" xfId="0">
      <alignment horizontal="center" vertical="center" textRotation="165"/>
    </xf>
    <xf numFmtId="164" fontId="8" fillId="0" borderId="9" applyAlignment="1" pivotButton="0" quotePrefix="0" xfId="0">
      <alignment horizontal="center" vertical="center" textRotation="164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lang="en-US"/>
            </a:pPr>
            <a:r>
              <a:rPr lang="fr-FR" sz="1400"/>
              <a:t>Vue globale de la marge brute mesuelle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47224754800387"/>
          <y val="0.281859272541427"/>
          <w val="0.8154521803195649"/>
          <h val="0.5752106234245481"/>
        </manualLayout>
      </layout>
      <barChart>
        <barDir val="col"/>
        <grouping val="clustered"/>
        <varyColors val="0"/>
        <ser>
          <idx val="1"/>
          <order val="0"/>
          <tx>
            <strRef>
              <f>'4. Vue globale  MB mensuels '!$C$7</f>
              <strCache>
                <ptCount val="1"/>
                <pt idx="0">
                  <v>Mes objectifs mensuels</v>
                </pt>
              </strCache>
            </strRef>
          </tx>
          <spPr>
            <a:solidFill xmlns:a="http://schemas.openxmlformats.org/drawingml/2006/main">
              <a:srgbClr val="00B0F0"/>
            </a:solidFill>
            <a:ln xmlns:a="http://schemas.openxmlformats.org/drawingml/2006/main">
              <a:prstDash val="solid"/>
            </a:ln>
          </spPr>
          <invertIfNegative val="0"/>
          <val>
            <numRef>
              <f>'4. Vue globale  MB mensuels '!$H$7:$Y$7</f>
              <numCache>
                <formatCode>"€"#,##0_);[Red]\("€"#,##0\)</formatCode>
                <ptCount val="1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</numCache>
            </numRef>
          </val>
        </ser>
        <ser>
          <idx val="2"/>
          <order val="1"/>
          <tx>
            <strRef>
              <f>'4. Vue globale  MB mensuels '!$C$8</f>
              <strCache>
                <ptCount val="1"/>
                <pt idx="0">
                  <v>Le parcours "moyen" mensuel</v>
                </pt>
              </strCache>
            </strRef>
          </tx>
          <spPr>
            <a:solidFill xmlns:a="http://schemas.openxmlformats.org/drawingml/2006/main">
              <a:schemeClr val="bg1">
                <a:lumMod val="75000"/>
              </a:schemeClr>
            </a:solidFill>
            <a:ln xmlns:a="http://schemas.openxmlformats.org/drawingml/2006/main">
              <a:prstDash val="solid"/>
            </a:ln>
          </spPr>
          <invertIfNegative val="0"/>
          <val>
            <numRef>
              <f>'4. Vue globale  MB mensuels '!$H$8:$Y$8</f>
              <numCache>
                <formatCode>"€"#,##0_);[Red]\("€"#,##0\)</formatCode>
                <ptCount val="18"/>
                <pt idx="0">
                  <v>500</v>
                </pt>
                <pt idx="1">
                  <v>600</v>
                </pt>
                <pt idx="2">
                  <v>700</v>
                </pt>
                <pt idx="3">
                  <v>800</v>
                </pt>
                <pt idx="4">
                  <v>1000</v>
                </pt>
                <pt idx="5">
                  <v>1200</v>
                </pt>
                <pt idx="6">
                  <v>1400</v>
                </pt>
                <pt idx="7">
                  <v>1600</v>
                </pt>
                <pt idx="8">
                  <v>1800</v>
                </pt>
                <pt idx="9">
                  <v>2000</v>
                </pt>
                <pt idx="10">
                  <v>2200</v>
                </pt>
                <pt idx="11">
                  <v>2400</v>
                </pt>
                <pt idx="12">
                  <v>2600</v>
                </pt>
                <pt idx="13">
                  <v>2800</v>
                </pt>
                <pt idx="14">
                  <v>3000</v>
                </pt>
                <pt idx="15">
                  <v>3200</v>
                </pt>
                <pt idx="16">
                  <v>3400</v>
                </pt>
                <pt idx="17">
                  <v>3600</v>
                </pt>
              </numCache>
            </numRef>
          </val>
        </ser>
        <ser>
          <idx val="3"/>
          <order val="2"/>
          <tx>
            <strRef>
              <f>'4. Vue globale  MB mensuels '!$C$9</f>
              <strCache>
                <ptCount val="1"/>
                <pt idx="0">
                  <v>Mes résultats mensuels</v>
                </pt>
              </strCache>
            </strRef>
          </tx>
          <spPr>
            <a:solidFill xmlns:a="http://schemas.openxmlformats.org/drawingml/2006/main">
              <a:srgbClr val="7030A0"/>
            </a:solidFill>
            <a:ln xmlns:a="http://schemas.openxmlformats.org/drawingml/2006/main">
              <a:prstDash val="solid"/>
            </a:ln>
          </spPr>
          <invertIfNegative val="0"/>
          <val>
            <numRef>
              <f>'4. Vue globale  MB mensuels '!$H$9:$Y$9</f>
              <numCache>
                <formatCode>"€"#,##0_);[Red]\("€"#,##0\)</formatCode>
                <ptCount val="1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2078560"/>
        <axId val="442079344"/>
      </barChart>
      <catAx>
        <axId val="442078560"/>
        <scaling>
          <orientation val="minMax"/>
        </scaling>
        <delete val="0"/>
        <axPos val="b"/>
        <majorGridlines/>
        <numFmt formatCode="General" sourceLinked="1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lang="en-US"/>
            </a:pPr>
            <a:r>
              <a:t>None</a:t>
            </a:r>
            <a:endParaRPr lang="en-BE"/>
          </a:p>
        </txPr>
        <crossAx val="442079344"/>
        <crosses val="autoZero"/>
        <auto val="1"/>
        <lblAlgn val="ctr"/>
        <lblOffset val="100"/>
        <noMultiLvlLbl val="0"/>
      </catAx>
      <valAx>
        <axId val="442079344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lang="en-US"/>
                </a:pPr>
                <a:r>
                  <a:rPr lang="fr-FR"/>
                  <a:t>Valeur Marge brute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9532164697029447"/>
              <y val="0.3855920911671761"/>
            </manualLayout>
          </layout>
          <overlay val="0"/>
        </title>
        <numFmt formatCode="&quot;€&quot;#,##0_);[Red]\(&quot;€&quot;#,##0\)" sourceLinked="1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lang="en-US"/>
            </a:pPr>
            <a:r>
              <a:t>None</a:t>
            </a:r>
            <a:endParaRPr lang="en-BE"/>
          </a:p>
        </txPr>
        <crossAx val="442078560"/>
        <crosses val="autoZero"/>
        <crossBetween val="between"/>
        <majorUnit val="500"/>
      </valAx>
    </plotArea>
    <legend>
      <legendPos val="t"/>
      <overlay val="1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lang="en-US"/>
          </a:pPr>
          <a:r>
            <a:t>None</a:t>
          </a:r>
          <a:endParaRPr lang="en-BE"/>
        </a:p>
      </txPr>
    </legend>
    <plotVisOnly val="1"/>
    <dispBlanksAs val="zero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lang="en-US"/>
            </a:pPr>
            <a:r>
              <a:rPr lang="fr-FR" sz="1400"/>
              <a:t>Vue globale de la marge brute cumulée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47224754800387"/>
          <y val="0.281859272541427"/>
          <w val="0.8154521803195649"/>
          <h val="0.5752106234245481"/>
        </manualLayout>
      </layout>
      <lineChart>
        <grouping val="standard"/>
        <varyColors val="0"/>
        <ser>
          <idx val="1"/>
          <order val="0"/>
          <tx>
            <strRef>
              <f>'4. Vue globale  MB mensuels '!$C$15</f>
              <strCache>
                <ptCount val="1"/>
                <pt idx="0">
                  <v>Mes objectifs cumulés</v>
                </pt>
              </strCache>
            </strRef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'4. Vue globale  MB mensuels '!$H$15:$Z$15</f>
              <numCache>
                <formatCode>"€"#,##0_);[Red]\("€"#,##0\)</formatCode>
                <ptCount val="19"/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</numCache>
            </numRef>
          </val>
          <smooth val="0"/>
        </ser>
        <ser>
          <idx val="2"/>
          <order val="1"/>
          <tx>
            <strRef>
              <f>'4. Vue globale  MB mensuels '!$C$16</f>
              <strCache>
                <ptCount val="1"/>
                <pt idx="0">
                  <v>Le parcours "moyen" cumulé</v>
                </pt>
              </strCache>
            </strRef>
          </tx>
          <spPr>
            <a:ln xmlns:a="http://schemas.openxmlformats.org/drawingml/2006/main">
              <a:solidFill>
                <a:schemeClr val="bg1">
                  <a:lumMod val="75000"/>
                </a:schemeClr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'4. Vue globale  MB mensuels '!$I$16:$Z$16</f>
              <numCache>
                <formatCode>"€"#,##0_);[Red]\("€"#,##0\)</formatCode>
                <ptCount val="18"/>
                <pt idx="0">
                  <v>500</v>
                </pt>
                <pt idx="1">
                  <v>1100</v>
                </pt>
                <pt idx="2">
                  <v>1800</v>
                </pt>
                <pt idx="3">
                  <v>2600</v>
                </pt>
                <pt idx="4">
                  <v>3600</v>
                </pt>
                <pt idx="5">
                  <v>4800</v>
                </pt>
                <pt idx="6">
                  <v>6200</v>
                </pt>
                <pt idx="7">
                  <v>7800</v>
                </pt>
                <pt idx="8">
                  <v>9600</v>
                </pt>
                <pt idx="9">
                  <v>11600</v>
                </pt>
                <pt idx="10">
                  <v>13800</v>
                </pt>
                <pt idx="11">
                  <v>16200</v>
                </pt>
                <pt idx="12">
                  <v>18800</v>
                </pt>
                <pt idx="13">
                  <v>21600</v>
                </pt>
                <pt idx="14">
                  <v>24600</v>
                </pt>
                <pt idx="15">
                  <v>27800</v>
                </pt>
                <pt idx="16">
                  <v>31200</v>
                </pt>
                <pt idx="17">
                  <v>34800</v>
                </pt>
              </numCache>
            </numRef>
          </val>
          <smooth val="0"/>
        </ser>
        <ser>
          <idx val="3"/>
          <order val="2"/>
          <tx>
            <strRef>
              <f>'4. Vue globale  MB mensuels '!$C$17</f>
              <strCache>
                <ptCount val="1"/>
                <pt idx="0">
                  <v>Mes résultats cumulés</v>
                </pt>
              </strCache>
            </strRef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'4. Vue globale  MB mensuels '!$I$17:$Z$17</f>
              <numCache>
                <formatCode>"€"#,##0_);[Red]\("€"#,##0\)</formatCode>
                <ptCount val="1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42080912"/>
        <axId val="442081696"/>
      </lineChart>
      <catAx>
        <axId val="442080912"/>
        <scaling>
          <orientation val="minMax"/>
        </scaling>
        <delete val="0"/>
        <axPos val="b"/>
        <majorGridlines/>
        <numFmt formatCode="General" sourceLinked="1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lang="en-US"/>
            </a:pPr>
            <a:r>
              <a:t>None</a:t>
            </a:r>
            <a:endParaRPr lang="en-BE"/>
          </a:p>
        </txPr>
        <crossAx val="442081696"/>
        <crosses val="autoZero"/>
        <auto val="1"/>
        <lblAlgn val="ctr"/>
        <lblOffset val="100"/>
        <noMultiLvlLbl val="0"/>
      </catAx>
      <valAx>
        <axId val="442081696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lang="en-US"/>
                </a:pPr>
                <a:r>
                  <a:rPr lang="fr-FR"/>
                  <a:t>Valeur Marge globale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9532163544212139"/>
              <y val="0.3855923543908161"/>
            </manualLayout>
          </layout>
          <overlay val="0"/>
        </title>
        <numFmt formatCode="General" sourceLinked="1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lang="en-US"/>
            </a:pPr>
            <a:r>
              <a:t>None</a:t>
            </a:r>
            <a:endParaRPr lang="en-BE"/>
          </a:p>
        </txPr>
        <crossAx val="442080912"/>
        <crosses val="autoZero"/>
        <crossBetween val="between"/>
        <majorUnit val="5000"/>
      </valAx>
    </plotArea>
    <legend>
      <legendPos val="t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lang="en-US"/>
          </a:pPr>
          <a:r>
            <a:t>None</a:t>
          </a:r>
          <a:endParaRPr lang="en-BE"/>
        </a:p>
      </txPr>
    </legend>
    <plotVisOnly val="1"/>
    <dispBlanksAs val="zero"/>
  </chart>
</chartSpace>
</file>

<file path=xl/comments/comment1.xml><?xml version="1.0" encoding="utf-8"?>
<comments xmlns="http://schemas.openxmlformats.org/spreadsheetml/2006/main">
  <authors>
    <author>Raphaël Guilbert</author>
  </authors>
  <commentList>
    <comment ref="A8" authorId="0" shapeId="0">
      <text>
        <t>Raphaël Guilbert:
copier/coller ici la colonne de "produits-service" de votre Plan Financier.</t>
      </text>
    </comment>
    <comment ref="J9" authorId="0" shapeId="0">
      <text>
        <t>Raphaël Guilbert:
 copier/coller la colonne frais d'appro du Plan Financier</t>
      </text>
    </comment>
  </commentList>
</comments>
</file>

<file path=xl/comments/comment2.xml><?xml version="1.0" encoding="utf-8"?>
<comments xmlns="http://schemas.openxmlformats.org/spreadsheetml/2006/main">
  <authors>
    <author>Raphaël Guilbert</author>
  </authors>
  <commentList>
    <comment ref="A4" authorId="0" shapeId="0">
      <text>
        <t xml:space="preserve">Raphaël Guilbert:
</t>
      </text>
    </comment>
    <comment ref="AK5" authorId="0" shapeId="0">
      <text>
        <t>Raphaël Guilbert:
copier/coller ici votre quantité moyenne mensuelle du Plan Financier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1</col>
      <colOff>30480</colOff>
      <row>17</row>
      <rowOff>137160</rowOff>
    </from>
    <to>
      <col>18</col>
      <colOff>167640</colOff>
      <row>35</row>
      <rowOff>106680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19</col>
      <colOff>22860</colOff>
      <row>17</row>
      <rowOff>144780</rowOff>
    </from>
    <to>
      <col>33</col>
      <colOff>548640</colOff>
      <row>35</row>
      <rowOff>121920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9" tint="0.5999938962981048"/>
    <outlinePr summaryBelow="1" summaryRight="1"/>
    <pageSetUpPr/>
  </sheetPr>
  <dimension ref="A1:M61"/>
  <sheetViews>
    <sheetView tabSelected="1" topLeftCell="A3" zoomScaleNormal="100" zoomScalePageLayoutView="90" workbookViewId="0">
      <selection activeCell="E24" sqref="E24"/>
    </sheetView>
  </sheetViews>
  <sheetFormatPr baseColWidth="10" defaultColWidth="11.44140625" defaultRowHeight="13.2"/>
  <cols>
    <col width="42.5546875" customWidth="1" min="1" max="1"/>
    <col width="2" customWidth="1" min="2" max="2"/>
    <col width="10.5546875" customWidth="1" min="3" max="3"/>
    <col width="3.6640625" customWidth="1" min="6" max="6"/>
    <col width="9.33203125" customWidth="1" min="7" max="8"/>
    <col width="8.6640625" customWidth="1" min="9" max="9"/>
    <col width="13.109375" customWidth="1" min="10" max="10"/>
    <col width="31.88671875" customWidth="1" min="12" max="12"/>
  </cols>
  <sheetData>
    <row r="1" ht="17.4" customHeight="1">
      <c r="A1" s="70" t="inlineStr">
        <is>
          <t>Tableau de la croissance financière de votre projet: en prévisionnel et en réel, sur 18 mois (durée du test)</t>
        </is>
      </c>
      <c r="B1" s="70" t="n"/>
      <c r="C1" s="70" t="n"/>
      <c r="D1" s="70" t="n"/>
      <c r="E1" s="70" t="n"/>
      <c r="F1" s="70" t="n"/>
      <c r="G1" s="70" t="n"/>
      <c r="H1" s="70" t="n"/>
      <c r="I1" s="70" t="n"/>
      <c r="J1" s="70" t="n"/>
      <c r="K1" s="70" t="n"/>
    </row>
    <row r="3">
      <c r="A3" s="47" t="inlineStr">
        <is>
          <t xml:space="preserve">INSTRUCTION: </t>
        </is>
      </c>
    </row>
    <row r="4">
      <c r="A4" s="44" t="inlineStr">
        <is>
          <t xml:space="preserve">Copier dans "Liste produits-services" du Plan Financier les listes de produits et services  à coller ici. </t>
        </is>
      </c>
    </row>
    <row r="5">
      <c r="A5" s="44" t="inlineStr">
        <is>
          <t>Idem pour les PV (Prix de Vente) tvaC et pour les frais d'approvisionnement Htva.</t>
        </is>
      </c>
    </row>
    <row r="6">
      <c r="A6" s="44" t="inlineStr">
        <is>
          <t>Tout changement que vous appliquez ici est à appliquer dans le Plan Financier</t>
        </is>
      </c>
    </row>
    <row r="7">
      <c r="K7" s="71" t="n"/>
    </row>
    <row r="8">
      <c r="A8" s="1" t="inlineStr">
        <is>
          <t>Liste produits-services</t>
        </is>
      </c>
      <c r="C8" s="72" t="inlineStr">
        <is>
          <t>PV tvaC</t>
        </is>
      </c>
      <c r="D8" s="72" t="inlineStr">
        <is>
          <t>PV tvaC</t>
        </is>
      </c>
      <c r="E8" s="72" t="inlineStr">
        <is>
          <t>PV tvaC</t>
        </is>
      </c>
      <c r="G8" s="72" t="inlineStr">
        <is>
          <t>PV Htva</t>
        </is>
      </c>
      <c r="H8" s="72" t="inlineStr">
        <is>
          <t>PV Htva</t>
        </is>
      </c>
      <c r="I8" s="72" t="inlineStr">
        <is>
          <t>PV Htva</t>
        </is>
      </c>
      <c r="K8" s="73" t="n"/>
    </row>
    <row r="9" ht="26.4" customHeight="1">
      <c r="A9" s="69" t="n"/>
      <c r="C9" s="66" t="n">
        <v>0.21</v>
      </c>
      <c r="D9" s="67" t="n">
        <v>0.12</v>
      </c>
      <c r="E9" s="68" t="n">
        <v>0.06</v>
      </c>
      <c r="F9" s="38" t="n"/>
      <c r="G9" s="66" t="n">
        <v>0.21</v>
      </c>
      <c r="H9" s="67" t="n">
        <v>0.12</v>
      </c>
      <c r="I9" s="68" t="n">
        <v>0.06</v>
      </c>
      <c r="J9" s="72" t="inlineStr">
        <is>
          <t>Frais appro Vtva</t>
        </is>
      </c>
      <c r="K9" s="74" t="inlineStr">
        <is>
          <t>Marge Brute Htva</t>
        </is>
      </c>
      <c r="L9" s="77" t="inlineStr">
        <is>
          <t xml:space="preserve">&lt;&lt; Marge brute Htva = PV Htva - Frais d'approvisionnement Htva </t>
        </is>
      </c>
    </row>
    <row r="10" ht="13.8" customHeight="1">
      <c r="A10" s="64" t="inlineStr">
        <is>
          <t>Site web ASBL (forfait site + formation + 3 mois support)</t>
        </is>
      </c>
      <c r="C10" s="61" t="n">
        <v>2000</v>
      </c>
      <c r="D10" s="59" t="n"/>
      <c r="E10" s="59" t="n"/>
      <c r="F10" s="39" t="n"/>
      <c r="G10" s="39">
        <f>C10/(1+C$9)</f>
        <v/>
      </c>
      <c r="H10" s="39">
        <f>D10/(1+D$9)</f>
        <v/>
      </c>
      <c r="I10" s="39">
        <f>E10/(1+E$9)</f>
        <v/>
      </c>
      <c r="J10" s="62" t="n">
        <v>0</v>
      </c>
      <c r="K10" s="41">
        <f>SUM(G10:I10)-J10</f>
        <v/>
      </c>
    </row>
    <row r="11" ht="13.8" customHeight="1">
      <c r="A11" s="64" t="inlineStr">
        <is>
          <t>Hébergement + nom de domaine (forfait annuel / site du parc)</t>
        </is>
      </c>
      <c r="C11" s="61" t="n">
        <v>120</v>
      </c>
      <c r="D11" s="59" t="n"/>
      <c r="E11" s="59" t="n"/>
      <c r="F11" s="39" t="n"/>
      <c r="G11" s="39">
        <f>C11/(1+C$9)</f>
        <v/>
      </c>
      <c r="H11" s="39">
        <f>D11/(1+D$9)</f>
        <v/>
      </c>
      <c r="I11" s="39">
        <f>E11/(1+E$9)</f>
        <v/>
      </c>
      <c r="J11" s="62" t="n">
        <v>0</v>
      </c>
      <c r="K11" s="41">
        <f>SUM(G11:I11)-J11</f>
        <v/>
      </c>
    </row>
    <row r="12" ht="13.8" customHeight="1">
      <c r="A12" s="64" t="inlineStr">
        <is>
          <t>App / outil de gestion sur mesure (CRM, subsides, inscriptions)</t>
        </is>
      </c>
      <c r="C12" s="61" t="n">
        <v>5000</v>
      </c>
      <c r="D12" s="59" t="n"/>
      <c r="E12" s="59" t="n"/>
      <c r="F12" s="39" t="n"/>
      <c r="G12" s="39">
        <f>C12/(1+C$9)</f>
        <v/>
      </c>
      <c r="H12" s="39">
        <f>D12/(1+D$9)</f>
        <v/>
      </c>
      <c r="I12" s="39">
        <f>E12/(1+E$9)</f>
        <v/>
      </c>
      <c r="J12" s="62" t="n">
        <v>0</v>
      </c>
      <c r="K12" s="41">
        <f>SUM(G12:I12)-J12</f>
        <v/>
      </c>
    </row>
    <row r="13">
      <c r="A13" s="89" t="inlineStr">
        <is>
          <t>Hébergement app de gestion (forfait annuel / app)</t>
        </is>
      </c>
      <c r="C13" s="60" t="n">
        <v>180</v>
      </c>
      <c r="D13" s="59" t="n"/>
      <c r="E13" s="59" t="n"/>
      <c r="F13" s="39" t="n"/>
      <c r="G13" s="39">
        <f>C13/(1+C$9)</f>
        <v/>
      </c>
      <c r="H13" s="39">
        <f>D13/(1+D$9)</f>
        <v/>
      </c>
      <c r="I13" s="39">
        <f>E13/(1+E$9)</f>
        <v/>
      </c>
      <c r="J13" s="63" t="n">
        <v>0</v>
      </c>
      <c r="K13" s="41">
        <f>SUM(G13:I13)-J13</f>
        <v/>
      </c>
    </row>
    <row r="14">
      <c r="A14" s="89" t="n"/>
      <c r="C14" s="60" t="n"/>
      <c r="D14" s="59" t="n"/>
      <c r="E14" s="59" t="n"/>
      <c r="F14" s="39" t="n"/>
      <c r="G14" s="39">
        <f>C14/(1+C$9)</f>
        <v/>
      </c>
      <c r="H14" s="39">
        <f>D14/(1+D$9)</f>
        <v/>
      </c>
      <c r="I14" s="39">
        <f>E14/(1+E$9)</f>
        <v/>
      </c>
      <c r="J14" s="63" t="n"/>
      <c r="K14" s="41">
        <f>SUM(G14:I14)-J14</f>
        <v/>
      </c>
    </row>
    <row r="15">
      <c r="A15" s="89" t="n"/>
      <c r="C15" s="60" t="n"/>
      <c r="D15" s="59" t="n"/>
      <c r="E15" s="59" t="n"/>
      <c r="F15" s="39" t="n"/>
      <c r="G15" s="39">
        <f>C15/(1+C$9)</f>
        <v/>
      </c>
      <c r="H15" s="39">
        <f>D15/(1+D$9)</f>
        <v/>
      </c>
      <c r="I15" s="39">
        <f>E15/(1+E$9)</f>
        <v/>
      </c>
      <c r="J15" s="63" t="n"/>
      <c r="K15" s="41">
        <f>SUM(G15:I15)-J15</f>
        <v/>
      </c>
    </row>
    <row r="16">
      <c r="A16" s="89" t="n"/>
      <c r="C16" s="60" t="n"/>
      <c r="D16" s="59" t="n"/>
      <c r="E16" s="59" t="n"/>
      <c r="F16" s="39" t="n"/>
      <c r="G16" s="39">
        <f>C16/(1+C$9)</f>
        <v/>
      </c>
      <c r="H16" s="39">
        <f>D16/(1+D$9)</f>
        <v/>
      </c>
      <c r="I16" s="39">
        <f>E16/(1+E$9)</f>
        <v/>
      </c>
      <c r="J16" s="63" t="n"/>
      <c r="K16" s="41">
        <f>SUM(G16:I16)-J16</f>
        <v/>
      </c>
    </row>
    <row r="17">
      <c r="A17" s="89" t="n"/>
      <c r="C17" s="60" t="n"/>
      <c r="D17" s="59" t="n"/>
      <c r="E17" s="59" t="n"/>
      <c r="F17" s="39" t="n"/>
      <c r="G17" s="39">
        <f>C17/(1+C$9)</f>
        <v/>
      </c>
      <c r="H17" s="39">
        <f>D17/(1+D$9)</f>
        <v/>
      </c>
      <c r="I17" s="39">
        <f>E17/(1+E$9)</f>
        <v/>
      </c>
      <c r="J17" s="63" t="n"/>
      <c r="K17" s="41">
        <f>SUM(G17:I17)-J17</f>
        <v/>
      </c>
    </row>
    <row r="18">
      <c r="A18" s="89" t="n"/>
      <c r="C18" s="60" t="n"/>
      <c r="D18" s="59" t="n"/>
      <c r="E18" s="59" t="n"/>
      <c r="F18" s="39" t="n"/>
      <c r="G18" s="39">
        <f>C18/(1+C$9)</f>
        <v/>
      </c>
      <c r="H18" s="39">
        <f>D18/(1+D$9)</f>
        <v/>
      </c>
      <c r="I18" s="39">
        <f>E18/(1+E$9)</f>
        <v/>
      </c>
      <c r="J18" s="63" t="n"/>
      <c r="K18" s="41">
        <f>SUM(G18:I18)-J18</f>
        <v/>
      </c>
    </row>
    <row r="19">
      <c r="A19" s="89" t="n"/>
      <c r="C19" s="60" t="n"/>
      <c r="D19" s="59" t="n"/>
      <c r="E19" s="59" t="n"/>
      <c r="F19" s="39" t="n"/>
      <c r="G19" s="39">
        <f>C19/(1+C$9)</f>
        <v/>
      </c>
      <c r="H19" s="39">
        <f>D19/(1+D$9)</f>
        <v/>
      </c>
      <c r="I19" s="39">
        <f>E19/(1+E$9)</f>
        <v/>
      </c>
      <c r="J19" s="63" t="n"/>
      <c r="K19" s="41">
        <f>SUM(G19:I19)-J19</f>
        <v/>
      </c>
    </row>
    <row r="20">
      <c r="A20" s="89" t="n"/>
      <c r="C20" s="60" t="n"/>
      <c r="D20" s="59" t="n"/>
      <c r="E20" s="59" t="n"/>
      <c r="F20" s="39" t="n"/>
      <c r="G20" s="39">
        <f>C20/(1+C$9)</f>
        <v/>
      </c>
      <c r="H20" s="39">
        <f>D20/(1+D$9)</f>
        <v/>
      </c>
      <c r="I20" s="39">
        <f>E20/(1+E$9)</f>
        <v/>
      </c>
      <c r="J20" s="63" t="n"/>
      <c r="K20" s="41">
        <f>SUM(G20:I20)-J20</f>
        <v/>
      </c>
    </row>
    <row r="21">
      <c r="A21" s="89" t="n"/>
      <c r="C21" s="60" t="n"/>
      <c r="D21" s="59" t="n"/>
      <c r="E21" s="59" t="n"/>
      <c r="F21" s="39" t="n"/>
      <c r="G21" s="39">
        <f>C21/(1+C$9)</f>
        <v/>
      </c>
      <c r="H21" s="39">
        <f>D21/(1+D$9)</f>
        <v/>
      </c>
      <c r="I21" s="39">
        <f>E21/(1+E$9)</f>
        <v/>
      </c>
      <c r="J21" s="63" t="n"/>
      <c r="K21" s="41">
        <f>SUM(G21:I21)-J21</f>
        <v/>
      </c>
    </row>
    <row r="22">
      <c r="A22" s="89" t="n"/>
      <c r="C22" s="60" t="n"/>
      <c r="D22" s="59" t="n"/>
      <c r="E22" s="59" t="n"/>
      <c r="F22" s="39" t="n"/>
      <c r="G22" s="39">
        <f>C22/(1+C$9)</f>
        <v/>
      </c>
      <c r="H22" s="39">
        <f>D22/(1+D$9)</f>
        <v/>
      </c>
      <c r="I22" s="39">
        <f>E22/(1+E$9)</f>
        <v/>
      </c>
      <c r="J22" s="63" t="n"/>
      <c r="K22" s="41">
        <f>SUM(G22:I22)-J22</f>
        <v/>
      </c>
    </row>
    <row r="61">
      <c r="B61" s="75" t="n"/>
    </row>
  </sheetData>
  <mergeCells count="1">
    <mergeCell ref="L9:M9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5999938962981048"/>
    <outlinePr summaryBelow="1" summaryRight="1"/>
    <pageSetUpPr/>
  </sheetPr>
  <dimension ref="A1:AL23"/>
  <sheetViews>
    <sheetView workbookViewId="0">
      <pane xSplit="1" topLeftCell="B1" activePane="topRight" state="frozen"/>
      <selection pane="topRight" activeCell="E1" sqref="E1"/>
    </sheetView>
  </sheetViews>
  <sheetFormatPr baseColWidth="10" defaultColWidth="11.44140625" defaultRowHeight="13.2"/>
  <cols>
    <col width="37.6640625" customWidth="1" min="1" max="1"/>
    <col width="9.44140625" customWidth="1" min="2" max="2"/>
    <col width="4.109375" customWidth="1" min="3" max="3"/>
    <col width="6.6640625" customWidth="1" min="4" max="4"/>
    <col width="5" customWidth="1" min="5" max="5"/>
    <col width="7" customWidth="1" min="6" max="6"/>
    <col width="4.6640625" customWidth="1" min="7" max="7"/>
    <col width="6.6640625" customWidth="1" min="8" max="8"/>
    <col width="5.44140625" customWidth="1" min="9" max="9"/>
    <col width="7.33203125" customWidth="1" min="10" max="10"/>
    <col width="5.6640625" customWidth="1" min="11" max="11"/>
    <col width="6.44140625" customWidth="1" min="12" max="12"/>
    <col width="4.44140625" customWidth="1" min="13" max="13"/>
    <col width="7" customWidth="1" min="14" max="14"/>
    <col width="4.6640625" customWidth="1" min="15" max="15"/>
    <col width="7.109375" customWidth="1" min="16" max="16"/>
    <col width="4.44140625" customWidth="1" min="17" max="17"/>
    <col width="6.44140625" customWidth="1" min="18" max="18"/>
    <col width="5.44140625" customWidth="1" min="19" max="19"/>
    <col width="6.109375" customWidth="1" min="20" max="20"/>
    <col width="4.6640625" customWidth="1" min="21" max="21"/>
    <col width="6.109375" customWidth="1" min="22" max="22"/>
    <col width="5.44140625" customWidth="1" min="23" max="23"/>
    <col width="6.109375" customWidth="1" min="24" max="24"/>
    <col width="5.33203125" customWidth="1" min="25" max="25"/>
    <col width="6.109375" customWidth="1" min="26" max="26"/>
    <col width="4.6640625" customWidth="1" min="27" max="27"/>
    <col width="6.109375" customWidth="1" min="28" max="28"/>
    <col width="4.44140625" customWidth="1" min="29" max="29"/>
    <col width="6.109375" customWidth="1" min="30" max="30"/>
    <col width="4.6640625" customWidth="1" min="31" max="31"/>
    <col width="6.109375" customWidth="1" min="32" max="32"/>
    <col width="5" customWidth="1" min="33" max="33"/>
    <col width="6.109375" customWidth="1" min="34" max="34"/>
    <col width="4.6640625" customWidth="1" min="35" max="35"/>
    <col width="6.109375" customWidth="1" min="36" max="36"/>
    <col width="4.44140625" customWidth="1" min="37" max="37"/>
    <col width="6.109375" customWidth="1" min="38" max="38"/>
  </cols>
  <sheetData>
    <row r="1" ht="17.4" customHeight="1">
      <c r="A1" s="36" t="inlineStr">
        <is>
          <t>Prévisionnel</t>
        </is>
      </c>
      <c r="B1" s="1" t="inlineStr">
        <is>
          <t xml:space="preserve">Nom : </t>
        </is>
      </c>
      <c r="C1" t="inlineStr">
        <is>
          <t>Oliver Van Droogenbroeck</t>
        </is>
      </c>
    </row>
    <row r="2" ht="13.8" customHeight="1" thickBot="1"/>
    <row r="3" ht="13.8" customHeight="1" thickBot="1">
      <c r="A3" s="22" t="n"/>
      <c r="B3" s="23" t="n"/>
      <c r="C3" s="90" t="n">
        <v>46266</v>
      </c>
      <c r="D3" s="91" t="n"/>
      <c r="E3" s="90" t="n">
        <v>46296</v>
      </c>
      <c r="F3" s="91" t="n"/>
      <c r="G3" s="90" t="n">
        <v>46327</v>
      </c>
      <c r="H3" s="91" t="n"/>
      <c r="I3" s="90" t="n">
        <v>46357</v>
      </c>
      <c r="J3" s="91" t="n"/>
      <c r="K3" s="90" t="n">
        <v>46388</v>
      </c>
      <c r="L3" s="91" t="n"/>
      <c r="M3" s="90" t="n">
        <v>46419</v>
      </c>
      <c r="N3" s="91" t="n"/>
      <c r="O3" s="90" t="n">
        <v>46447</v>
      </c>
      <c r="P3" s="91" t="n"/>
      <c r="Q3" s="90" t="n">
        <v>46478</v>
      </c>
      <c r="R3" s="91" t="n"/>
      <c r="S3" s="90" t="n">
        <v>46508</v>
      </c>
      <c r="T3" s="91" t="n"/>
      <c r="U3" s="90" t="n">
        <v>46539</v>
      </c>
      <c r="V3" s="91" t="n"/>
      <c r="W3" s="90" t="n">
        <v>46569</v>
      </c>
      <c r="X3" s="91" t="n"/>
      <c r="Y3" s="90" t="n">
        <v>46600</v>
      </c>
      <c r="Z3" s="91" t="n"/>
      <c r="AA3" s="90" t="n">
        <v>46631</v>
      </c>
      <c r="AB3" s="91" t="n"/>
      <c r="AC3" s="90" t="n">
        <v>46661</v>
      </c>
      <c r="AD3" s="91" t="n"/>
      <c r="AE3" s="90" t="n">
        <v>46692</v>
      </c>
      <c r="AF3" s="91" t="n"/>
      <c r="AG3" s="90" t="n">
        <v>46722</v>
      </c>
      <c r="AH3" s="91" t="n"/>
      <c r="AI3" s="90" t="n">
        <v>46753</v>
      </c>
      <c r="AJ3" s="91" t="n"/>
      <c r="AK3" s="90" t="n">
        <v>46784</v>
      </c>
      <c r="AL3" s="91" t="n"/>
    </row>
    <row r="4" ht="44.4" customHeight="1" thickBot="1">
      <c r="A4" s="24" t="inlineStr">
        <is>
          <t>TYPE DE PRESTATION</t>
        </is>
      </c>
      <c r="B4" s="76" t="inlineStr">
        <is>
          <t>Marge Brute Unitaire</t>
        </is>
      </c>
      <c r="C4" s="92" t="n">
        <v>1</v>
      </c>
      <c r="D4" s="93" t="n"/>
      <c r="E4" s="92" t="n">
        <v>2</v>
      </c>
      <c r="F4" s="93" t="n"/>
      <c r="G4" s="92" t="n">
        <v>3</v>
      </c>
      <c r="H4" s="93" t="n"/>
      <c r="I4" s="92" t="n">
        <v>4</v>
      </c>
      <c r="J4" s="93" t="n"/>
      <c r="K4" s="92" t="n">
        <v>5</v>
      </c>
      <c r="L4" s="93" t="n"/>
      <c r="M4" s="92" t="n">
        <v>6</v>
      </c>
      <c r="N4" s="93" t="n"/>
      <c r="O4" s="92" t="n">
        <v>7</v>
      </c>
      <c r="P4" s="93" t="n"/>
      <c r="Q4" s="92" t="n">
        <v>8</v>
      </c>
      <c r="R4" s="93" t="n"/>
      <c r="S4" s="92" t="n">
        <v>9</v>
      </c>
      <c r="T4" s="93" t="n"/>
      <c r="U4" s="92" t="n">
        <v>10</v>
      </c>
      <c r="V4" s="93" t="n"/>
      <c r="W4" s="92" t="n">
        <v>11</v>
      </c>
      <c r="X4" s="93" t="n"/>
      <c r="Y4" s="92" t="n">
        <v>12</v>
      </c>
      <c r="Z4" s="93" t="n"/>
      <c r="AA4" s="92" t="n">
        <v>13</v>
      </c>
      <c r="AB4" s="93" t="n"/>
      <c r="AC4" s="92" t="n">
        <v>14</v>
      </c>
      <c r="AD4" s="93" t="n"/>
      <c r="AE4" s="92" t="n">
        <v>15</v>
      </c>
      <c r="AF4" s="93" t="n"/>
      <c r="AG4" s="92" t="n">
        <v>16</v>
      </c>
      <c r="AH4" s="93" t="n"/>
      <c r="AI4" s="92" t="n">
        <v>17</v>
      </c>
      <c r="AJ4" s="93" t="n"/>
      <c r="AK4" s="92" t="n">
        <v>18</v>
      </c>
      <c r="AL4" s="93" t="n"/>
    </row>
    <row r="5">
      <c r="A5" s="26" t="n"/>
      <c r="B5" s="31" t="inlineStr">
        <is>
          <t>HTVA</t>
        </is>
      </c>
      <c r="C5" s="27" t="inlineStr">
        <is>
          <t>Nbre</t>
        </is>
      </c>
      <c r="D5" s="32" t="inlineStr">
        <is>
          <t>Tot.</t>
        </is>
      </c>
      <c r="E5" s="27" t="inlineStr">
        <is>
          <t>Nbre</t>
        </is>
      </c>
      <c r="F5" s="32" t="inlineStr">
        <is>
          <t>Tot.</t>
        </is>
      </c>
      <c r="G5" s="27" t="inlineStr">
        <is>
          <t>Nbre</t>
        </is>
      </c>
      <c r="H5" s="32" t="inlineStr">
        <is>
          <t>Tot.</t>
        </is>
      </c>
      <c r="I5" s="27" t="inlineStr">
        <is>
          <t>Nbre</t>
        </is>
      </c>
      <c r="J5" s="32" t="inlineStr">
        <is>
          <t>Tot.</t>
        </is>
      </c>
      <c r="K5" s="27" t="inlineStr">
        <is>
          <t>Nbre</t>
        </is>
      </c>
      <c r="L5" s="32" t="inlineStr">
        <is>
          <t>Tot.</t>
        </is>
      </c>
      <c r="M5" s="27" t="inlineStr">
        <is>
          <t>Nbre</t>
        </is>
      </c>
      <c r="N5" s="32" t="inlineStr">
        <is>
          <t>Tot.</t>
        </is>
      </c>
      <c r="O5" s="27" t="inlineStr">
        <is>
          <t>Nbre</t>
        </is>
      </c>
      <c r="P5" s="32" t="inlineStr">
        <is>
          <t>Tot.</t>
        </is>
      </c>
      <c r="Q5" s="27" t="inlineStr">
        <is>
          <t>Nbre</t>
        </is>
      </c>
      <c r="R5" s="32" t="inlineStr">
        <is>
          <t>Tot.</t>
        </is>
      </c>
      <c r="S5" s="27" t="inlineStr">
        <is>
          <t>Nbre</t>
        </is>
      </c>
      <c r="T5" s="32" t="inlineStr">
        <is>
          <t>Tot.</t>
        </is>
      </c>
      <c r="U5" s="27" t="inlineStr">
        <is>
          <t>Nbre</t>
        </is>
      </c>
      <c r="V5" s="32" t="inlineStr">
        <is>
          <t>Tot.</t>
        </is>
      </c>
      <c r="W5" s="27" t="inlineStr">
        <is>
          <t>Nbre</t>
        </is>
      </c>
      <c r="X5" s="32" t="inlineStr">
        <is>
          <t>Tot.</t>
        </is>
      </c>
      <c r="Y5" s="27" t="inlineStr">
        <is>
          <t>Nbre</t>
        </is>
      </c>
      <c r="Z5" s="32" t="inlineStr">
        <is>
          <t>Tot.</t>
        </is>
      </c>
      <c r="AA5" s="27" t="inlineStr">
        <is>
          <t>Nbre</t>
        </is>
      </c>
      <c r="AB5" s="32" t="inlineStr">
        <is>
          <t>Tot.</t>
        </is>
      </c>
      <c r="AC5" s="27" t="inlineStr">
        <is>
          <t>Nbre</t>
        </is>
      </c>
      <c r="AD5" s="32" t="inlineStr">
        <is>
          <t>Tot.</t>
        </is>
      </c>
      <c r="AE5" s="27" t="inlineStr">
        <is>
          <t>Nbre</t>
        </is>
      </c>
      <c r="AF5" s="32" t="inlineStr">
        <is>
          <t>Tot.</t>
        </is>
      </c>
      <c r="AG5" s="27" t="inlineStr">
        <is>
          <t>Nbre</t>
        </is>
      </c>
      <c r="AH5" s="32" t="inlineStr">
        <is>
          <t>Tot.</t>
        </is>
      </c>
      <c r="AI5" s="27" t="inlineStr">
        <is>
          <t>Nbre</t>
        </is>
      </c>
      <c r="AJ5" s="32" t="inlineStr">
        <is>
          <t>Tot.</t>
        </is>
      </c>
      <c r="AK5" s="27" t="inlineStr">
        <is>
          <t>Nbre</t>
        </is>
      </c>
      <c r="AL5" s="32" t="inlineStr">
        <is>
          <t>Tot.</t>
        </is>
      </c>
    </row>
    <row r="6" ht="13.8" customHeight="1">
      <c r="A6" s="33">
        <f>'1. Calcul de Marge Brute'!A10</f>
        <v/>
      </c>
      <c r="B6" s="40">
        <f>'1. Calcul de Marge Brute'!K10</f>
        <v/>
      </c>
      <c r="C6" s="43" t="n">
        <v>1</v>
      </c>
      <c r="D6" s="54">
        <f>C6*$B6</f>
        <v/>
      </c>
      <c r="E6" s="43" t="n">
        <v>1</v>
      </c>
      <c r="F6" s="54">
        <f>E6*$B6</f>
        <v/>
      </c>
      <c r="G6" s="43" t="n">
        <v>1</v>
      </c>
      <c r="H6" s="54">
        <f>G6*$B6</f>
        <v/>
      </c>
      <c r="I6" s="43" t="n">
        <v>1</v>
      </c>
      <c r="J6" s="54">
        <f>I6*$B6</f>
        <v/>
      </c>
      <c r="K6" s="43" t="n">
        <v>1</v>
      </c>
      <c r="L6" s="54">
        <f>K6*$B6</f>
        <v/>
      </c>
      <c r="M6" s="43" t="n">
        <v>1</v>
      </c>
      <c r="N6" s="54">
        <f>M6*$B6</f>
        <v/>
      </c>
      <c r="O6" s="43" t="n">
        <v>2</v>
      </c>
      <c r="P6" s="54">
        <f>O6*$B6</f>
        <v/>
      </c>
      <c r="Q6" s="43" t="n">
        <v>1</v>
      </c>
      <c r="R6" s="54">
        <f>Q6*$B6</f>
        <v/>
      </c>
      <c r="S6" s="42" t="n">
        <v>1</v>
      </c>
      <c r="T6" s="54">
        <f>S6*$B6</f>
        <v/>
      </c>
      <c r="U6" s="42" t="n">
        <v>2</v>
      </c>
      <c r="V6" s="54">
        <f>U6*$B6</f>
        <v/>
      </c>
      <c r="W6" s="42" t="n">
        <v>1</v>
      </c>
      <c r="X6" s="54">
        <f>W6*$B6</f>
        <v/>
      </c>
      <c r="Y6" s="42" t="n">
        <v>1</v>
      </c>
      <c r="Z6" s="54">
        <f>Y6*$B6</f>
        <v/>
      </c>
      <c r="AA6" s="42" t="n">
        <v>0</v>
      </c>
      <c r="AB6" s="54">
        <f>AA6*$B6</f>
        <v/>
      </c>
      <c r="AC6" s="42" t="n">
        <v>1</v>
      </c>
      <c r="AD6" s="54">
        <f>AC6*$B6</f>
        <v/>
      </c>
      <c r="AE6" s="42" t="n">
        <v>1</v>
      </c>
      <c r="AF6" s="54">
        <f>AE6*$B6</f>
        <v/>
      </c>
      <c r="AG6" s="42" t="n">
        <v>1</v>
      </c>
      <c r="AH6" s="54">
        <f>AG6*$B6</f>
        <v/>
      </c>
      <c r="AI6" s="42" t="n">
        <v>0</v>
      </c>
      <c r="AJ6" s="54">
        <f>AI6*$B6</f>
        <v/>
      </c>
      <c r="AK6" s="48" t="n">
        <v>1</v>
      </c>
      <c r="AL6" s="54">
        <f>AK6*$B6</f>
        <v/>
      </c>
    </row>
    <row r="7" ht="13.8" customHeight="1">
      <c r="A7" s="33">
        <f>'1. Calcul de Marge Brute'!A11</f>
        <v/>
      </c>
      <c r="B7" s="40">
        <f>'1. Calcul de Marge Brute'!K11</f>
        <v/>
      </c>
      <c r="C7" s="43" t="n">
        <v>1</v>
      </c>
      <c r="D7" s="54">
        <f>C7*$B7</f>
        <v/>
      </c>
      <c r="E7" s="43" t="n">
        <v>1</v>
      </c>
      <c r="F7" s="54">
        <f>E7*$B7</f>
        <v/>
      </c>
      <c r="G7" s="43" t="n">
        <v>1</v>
      </c>
      <c r="H7" s="54">
        <f>G7*$B7</f>
        <v/>
      </c>
      <c r="I7" s="43" t="n">
        <v>1</v>
      </c>
      <c r="J7" s="54">
        <f>I7*$B7</f>
        <v/>
      </c>
      <c r="K7" s="43" t="n">
        <v>1</v>
      </c>
      <c r="L7" s="54">
        <f>K7*$B7</f>
        <v/>
      </c>
      <c r="M7" s="43" t="n">
        <v>1</v>
      </c>
      <c r="N7" s="54">
        <f>M7*$B7</f>
        <v/>
      </c>
      <c r="O7" s="43" t="n">
        <v>2</v>
      </c>
      <c r="P7" s="54">
        <f>O7*$B7</f>
        <v/>
      </c>
      <c r="Q7" s="43" t="n">
        <v>1</v>
      </c>
      <c r="R7" s="54">
        <f>Q7*$B7</f>
        <v/>
      </c>
      <c r="S7" s="42" t="n">
        <v>1</v>
      </c>
      <c r="T7" s="54">
        <f>S7*$B7</f>
        <v/>
      </c>
      <c r="U7" s="42" t="n">
        <v>2</v>
      </c>
      <c r="V7" s="54">
        <f>U7*$B7</f>
        <v/>
      </c>
      <c r="W7" s="42" t="n">
        <v>1</v>
      </c>
      <c r="X7" s="54">
        <f>W7*$B7</f>
        <v/>
      </c>
      <c r="Y7" s="42" t="n">
        <v>1</v>
      </c>
      <c r="Z7" s="54">
        <f>Y7*$B7</f>
        <v/>
      </c>
      <c r="AA7" s="42" t="n">
        <v>0</v>
      </c>
      <c r="AB7" s="54">
        <f>AA7*$B7</f>
        <v/>
      </c>
      <c r="AC7" s="42" t="n">
        <v>1</v>
      </c>
      <c r="AD7" s="54">
        <f>AC7*$B7</f>
        <v/>
      </c>
      <c r="AE7" s="42" t="n">
        <v>1</v>
      </c>
      <c r="AF7" s="54">
        <f>AE7*$B7</f>
        <v/>
      </c>
      <c r="AG7" s="42" t="n">
        <v>1</v>
      </c>
      <c r="AH7" s="54">
        <f>AG7*$B7</f>
        <v/>
      </c>
      <c r="AI7" s="42" t="n">
        <v>0</v>
      </c>
      <c r="AJ7" s="54">
        <f>AI7*$B7</f>
        <v/>
      </c>
      <c r="AK7" s="48" t="n">
        <v>1</v>
      </c>
      <c r="AL7" s="54">
        <f>AK7*$B7</f>
        <v/>
      </c>
    </row>
    <row r="8" ht="13.8" customHeight="1">
      <c r="A8" s="33">
        <f>'1. Calcul de Marge Brute'!A12</f>
        <v/>
      </c>
      <c r="B8" s="40">
        <f>'1. Calcul de Marge Brute'!K12</f>
        <v/>
      </c>
      <c r="C8" s="43" t="n">
        <v>0</v>
      </c>
      <c r="D8" s="54">
        <f>C8*$B8</f>
        <v/>
      </c>
      <c r="E8" s="43" t="n">
        <v>0</v>
      </c>
      <c r="F8" s="54">
        <f>E8*$B8</f>
        <v/>
      </c>
      <c r="G8" s="43" t="n">
        <v>0</v>
      </c>
      <c r="H8" s="54">
        <f>G8*$B8</f>
        <v/>
      </c>
      <c r="I8" s="43" t="n">
        <v>0</v>
      </c>
      <c r="J8" s="54">
        <f>I8*$B8</f>
        <v/>
      </c>
      <c r="K8" s="43" t="n">
        <v>0</v>
      </c>
      <c r="L8" s="54">
        <f>K8*$B8</f>
        <v/>
      </c>
      <c r="M8" s="43" t="n">
        <v>1</v>
      </c>
      <c r="N8" s="54">
        <f>M8*$B8</f>
        <v/>
      </c>
      <c r="O8" s="43" t="n">
        <v>0</v>
      </c>
      <c r="P8" s="54">
        <f>O8*$B8</f>
        <v/>
      </c>
      <c r="Q8" s="43" t="n">
        <v>0</v>
      </c>
      <c r="R8" s="54">
        <f>Q8*$B8</f>
        <v/>
      </c>
      <c r="S8" s="42" t="n">
        <v>0</v>
      </c>
      <c r="T8" s="54">
        <f>S8*$B8</f>
        <v/>
      </c>
      <c r="U8" s="42" t="n">
        <v>0</v>
      </c>
      <c r="V8" s="54">
        <f>U8*$B8</f>
        <v/>
      </c>
      <c r="W8" s="42" t="n">
        <v>1</v>
      </c>
      <c r="X8" s="54">
        <f>W8*$B8</f>
        <v/>
      </c>
      <c r="Y8" s="42" t="n">
        <v>0</v>
      </c>
      <c r="Z8" s="54">
        <f>Y8*$B8</f>
        <v/>
      </c>
      <c r="AA8" s="42" t="n">
        <v>0</v>
      </c>
      <c r="AB8" s="54">
        <f>AA8*$B8</f>
        <v/>
      </c>
      <c r="AC8" s="42" t="n">
        <v>0</v>
      </c>
      <c r="AD8" s="54">
        <f>AC8*$B8</f>
        <v/>
      </c>
      <c r="AE8" s="42" t="n">
        <v>0</v>
      </c>
      <c r="AF8" s="54">
        <f>AE8*$B8</f>
        <v/>
      </c>
      <c r="AG8" s="42" t="n">
        <v>0</v>
      </c>
      <c r="AH8" s="54">
        <f>AG8*$B8</f>
        <v/>
      </c>
      <c r="AI8" s="42" t="n">
        <v>1</v>
      </c>
      <c r="AJ8" s="54">
        <f>AI8*$B8</f>
        <v/>
      </c>
      <c r="AK8" s="48" t="n">
        <v>0</v>
      </c>
      <c r="AL8" s="54">
        <f>AK8*$B8</f>
        <v/>
      </c>
    </row>
    <row r="9">
      <c r="A9" s="33">
        <f>'1. Calcul de Marge Brute'!A13</f>
        <v/>
      </c>
      <c r="B9" s="40">
        <f>'1. Calcul de Marge Brute'!K13</f>
        <v/>
      </c>
      <c r="C9" s="43" t="n">
        <v>0</v>
      </c>
      <c r="D9" s="54">
        <f>C9*$B9</f>
        <v/>
      </c>
      <c r="E9" s="43" t="n">
        <v>0</v>
      </c>
      <c r="F9" s="54">
        <f>E9*$B9</f>
        <v/>
      </c>
      <c r="G9" s="43" t="n">
        <v>0</v>
      </c>
      <c r="H9" s="54">
        <f>G9*$B9</f>
        <v/>
      </c>
      <c r="I9" s="43" t="n">
        <v>0</v>
      </c>
      <c r="J9" s="54">
        <f>I9*$B9</f>
        <v/>
      </c>
      <c r="K9" s="43" t="n">
        <v>0</v>
      </c>
      <c r="L9" s="54">
        <f>K9*$B9</f>
        <v/>
      </c>
      <c r="M9" s="43" t="n">
        <v>1</v>
      </c>
      <c r="N9" s="54">
        <f>M9*$B9</f>
        <v/>
      </c>
      <c r="O9" s="43" t="n">
        <v>0</v>
      </c>
      <c r="P9" s="54">
        <f>O9*$B9</f>
        <v/>
      </c>
      <c r="Q9" s="43" t="n">
        <v>0</v>
      </c>
      <c r="R9" s="54">
        <f>Q9*$B9</f>
        <v/>
      </c>
      <c r="S9" s="42" t="n">
        <v>0</v>
      </c>
      <c r="T9" s="54">
        <f>S9*$B9</f>
        <v/>
      </c>
      <c r="U9" s="42" t="n">
        <v>0</v>
      </c>
      <c r="V9" s="54">
        <f>U9*$B9</f>
        <v/>
      </c>
      <c r="W9" s="42" t="n">
        <v>1</v>
      </c>
      <c r="X9" s="54">
        <f>W9*$B9</f>
        <v/>
      </c>
      <c r="Y9" s="42" t="n">
        <v>0</v>
      </c>
      <c r="Z9" s="54">
        <f>Y9*$B9</f>
        <v/>
      </c>
      <c r="AA9" s="42" t="n">
        <v>0</v>
      </c>
      <c r="AB9" s="54">
        <f>AA9*$B9</f>
        <v/>
      </c>
      <c r="AC9" s="42" t="n">
        <v>0</v>
      </c>
      <c r="AD9" s="54">
        <f>AC9*$B9</f>
        <v/>
      </c>
      <c r="AE9" s="42" t="n">
        <v>0</v>
      </c>
      <c r="AF9" s="54">
        <f>AE9*$B9</f>
        <v/>
      </c>
      <c r="AG9" s="42" t="n">
        <v>0</v>
      </c>
      <c r="AH9" s="54">
        <f>AG9*$B9</f>
        <v/>
      </c>
      <c r="AI9" s="42" t="n">
        <v>1</v>
      </c>
      <c r="AJ9" s="54">
        <f>AI9*$B9</f>
        <v/>
      </c>
      <c r="AK9" s="42" t="n">
        <v>0</v>
      </c>
      <c r="AL9" s="54">
        <f>AK9*$B9</f>
        <v/>
      </c>
    </row>
    <row r="10">
      <c r="A10" s="33">
        <f>'1. Calcul de Marge Brute'!A14</f>
        <v/>
      </c>
      <c r="B10" s="40">
        <f>'1. Calcul de Marge Brute'!K14</f>
        <v/>
      </c>
      <c r="C10" s="43" t="n"/>
      <c r="D10" s="54">
        <f>C10*$B10</f>
        <v/>
      </c>
      <c r="E10" s="43" t="n"/>
      <c r="F10" s="54">
        <f>E10*$B10</f>
        <v/>
      </c>
      <c r="G10" s="43" t="n"/>
      <c r="H10" s="54">
        <f>G10*$B10</f>
        <v/>
      </c>
      <c r="I10" s="43" t="n"/>
      <c r="J10" s="54">
        <f>I10*$B10</f>
        <v/>
      </c>
      <c r="K10" s="43" t="n"/>
      <c r="L10" s="54">
        <f>K10*$B10</f>
        <v/>
      </c>
      <c r="M10" s="43" t="n"/>
      <c r="N10" s="54">
        <f>M10*$B10</f>
        <v/>
      </c>
      <c r="O10" s="43" t="n"/>
      <c r="P10" s="54">
        <f>O10*$B10</f>
        <v/>
      </c>
      <c r="Q10" s="43" t="n"/>
      <c r="R10" s="54">
        <f>Q10*$B10</f>
        <v/>
      </c>
      <c r="S10" s="42" t="n"/>
      <c r="T10" s="54">
        <f>S10*$B10</f>
        <v/>
      </c>
      <c r="U10" s="42" t="n"/>
      <c r="V10" s="54">
        <f>U10*$B10</f>
        <v/>
      </c>
      <c r="W10" s="42" t="n"/>
      <c r="X10" s="54">
        <f>W10*$B10</f>
        <v/>
      </c>
      <c r="Y10" s="42" t="n"/>
      <c r="Z10" s="54">
        <f>Y10*$B10</f>
        <v/>
      </c>
      <c r="AA10" s="42" t="n"/>
      <c r="AB10" s="54">
        <f>AA10*$B10</f>
        <v/>
      </c>
      <c r="AC10" s="42" t="n"/>
      <c r="AD10" s="54">
        <f>AC10*$B10</f>
        <v/>
      </c>
      <c r="AE10" s="42" t="n"/>
      <c r="AF10" s="54">
        <f>AE10*$B10</f>
        <v/>
      </c>
      <c r="AG10" s="42" t="n"/>
      <c r="AH10" s="54">
        <f>AG10*$B10</f>
        <v/>
      </c>
      <c r="AI10" s="42" t="n"/>
      <c r="AJ10" s="54">
        <f>AI10*$B10</f>
        <v/>
      </c>
      <c r="AK10" s="42" t="n"/>
      <c r="AL10" s="54">
        <f>AK10*$B10</f>
        <v/>
      </c>
    </row>
    <row r="11">
      <c r="A11" s="33">
        <f>'1. Calcul de Marge Brute'!A15</f>
        <v/>
      </c>
      <c r="B11" s="40">
        <f>'1. Calcul de Marge Brute'!K15</f>
        <v/>
      </c>
      <c r="C11" s="43" t="n"/>
      <c r="D11" s="54">
        <f>C11*$B11</f>
        <v/>
      </c>
      <c r="E11" s="43" t="n"/>
      <c r="F11" s="54">
        <f>E11*$B11</f>
        <v/>
      </c>
      <c r="G11" s="43" t="n"/>
      <c r="H11" s="54">
        <f>G11*$B11</f>
        <v/>
      </c>
      <c r="I11" s="43" t="n"/>
      <c r="J11" s="54">
        <f>I11*$B11</f>
        <v/>
      </c>
      <c r="K11" s="43" t="n"/>
      <c r="L11" s="54">
        <f>K11*$B11</f>
        <v/>
      </c>
      <c r="M11" s="43" t="n"/>
      <c r="N11" s="54">
        <f>M11*$B11</f>
        <v/>
      </c>
      <c r="O11" s="43" t="n"/>
      <c r="P11" s="54">
        <f>O11*$B11</f>
        <v/>
      </c>
      <c r="Q11" s="43" t="n"/>
      <c r="R11" s="54">
        <f>Q11*$B11</f>
        <v/>
      </c>
      <c r="S11" s="42" t="n"/>
      <c r="T11" s="54">
        <f>S11*$B11</f>
        <v/>
      </c>
      <c r="U11" s="42" t="n"/>
      <c r="V11" s="54">
        <f>U11*$B11</f>
        <v/>
      </c>
      <c r="W11" s="42" t="n"/>
      <c r="X11" s="54">
        <f>W11*$B11</f>
        <v/>
      </c>
      <c r="Y11" s="42" t="n"/>
      <c r="Z11" s="54">
        <f>Y11*$B11</f>
        <v/>
      </c>
      <c r="AA11" s="42" t="n"/>
      <c r="AB11" s="54">
        <f>AA11*$B11</f>
        <v/>
      </c>
      <c r="AC11" s="42" t="n"/>
      <c r="AD11" s="54">
        <f>AC11*$B11</f>
        <v/>
      </c>
      <c r="AE11" s="42" t="n"/>
      <c r="AF11" s="54">
        <f>AE11*$B11</f>
        <v/>
      </c>
      <c r="AG11" s="42" t="n"/>
      <c r="AH11" s="54">
        <f>AG11*$B11</f>
        <v/>
      </c>
      <c r="AI11" s="42" t="n"/>
      <c r="AJ11" s="54">
        <f>AI11*$B11</f>
        <v/>
      </c>
      <c r="AK11" s="42" t="n"/>
      <c r="AL11" s="54">
        <f>AK11*$B11</f>
        <v/>
      </c>
    </row>
    <row r="12">
      <c r="A12" s="33">
        <f>'1. Calcul de Marge Brute'!A16</f>
        <v/>
      </c>
      <c r="B12" s="40">
        <f>'1. Calcul de Marge Brute'!K16</f>
        <v/>
      </c>
      <c r="C12" s="43" t="n"/>
      <c r="D12" s="54">
        <f>C12*$B12</f>
        <v/>
      </c>
      <c r="E12" s="43" t="n"/>
      <c r="F12" s="54">
        <f>E12*$B12</f>
        <v/>
      </c>
      <c r="G12" s="43" t="n"/>
      <c r="H12" s="54">
        <f>G12*$B12</f>
        <v/>
      </c>
      <c r="I12" s="43" t="n"/>
      <c r="J12" s="54">
        <f>I12*$B12</f>
        <v/>
      </c>
      <c r="K12" s="43" t="n"/>
      <c r="L12" s="54">
        <f>K12*$B12</f>
        <v/>
      </c>
      <c r="M12" s="43" t="n"/>
      <c r="N12" s="54">
        <f>M12*$B12</f>
        <v/>
      </c>
      <c r="O12" s="43" t="n"/>
      <c r="P12" s="54">
        <f>O12*$B12</f>
        <v/>
      </c>
      <c r="Q12" s="43" t="n"/>
      <c r="R12" s="54">
        <f>Q12*$B12</f>
        <v/>
      </c>
      <c r="S12" s="42" t="n"/>
      <c r="T12" s="54">
        <f>S12*$B12</f>
        <v/>
      </c>
      <c r="U12" s="42" t="n"/>
      <c r="V12" s="54">
        <f>U12*$B12</f>
        <v/>
      </c>
      <c r="W12" s="42" t="n"/>
      <c r="X12" s="54">
        <f>W12*$B12</f>
        <v/>
      </c>
      <c r="Y12" s="42" t="n"/>
      <c r="Z12" s="54">
        <f>Y12*$B12</f>
        <v/>
      </c>
      <c r="AA12" s="42" t="n"/>
      <c r="AB12" s="54">
        <f>AA12*$B12</f>
        <v/>
      </c>
      <c r="AC12" s="42" t="n"/>
      <c r="AD12" s="54">
        <f>AC12*$B12</f>
        <v/>
      </c>
      <c r="AE12" s="42" t="n"/>
      <c r="AF12" s="54">
        <f>AE12*$B12</f>
        <v/>
      </c>
      <c r="AG12" s="42" t="n"/>
      <c r="AH12" s="54">
        <f>AG12*$B12</f>
        <v/>
      </c>
      <c r="AI12" s="42" t="n"/>
      <c r="AJ12" s="54">
        <f>AI12*$B12</f>
        <v/>
      </c>
      <c r="AK12" s="42" t="n"/>
      <c r="AL12" s="54">
        <f>AK12*$B12</f>
        <v/>
      </c>
    </row>
    <row r="13">
      <c r="A13" s="33">
        <f>'1. Calcul de Marge Brute'!A17</f>
        <v/>
      </c>
      <c r="B13" s="40">
        <f>'1. Calcul de Marge Brute'!K17</f>
        <v/>
      </c>
      <c r="C13" s="43" t="n"/>
      <c r="D13" s="54">
        <f>C13*$B13</f>
        <v/>
      </c>
      <c r="E13" s="43" t="n"/>
      <c r="F13" s="54">
        <f>E13*$B13</f>
        <v/>
      </c>
      <c r="G13" s="43" t="n"/>
      <c r="H13" s="54">
        <f>G13*$B13</f>
        <v/>
      </c>
      <c r="I13" s="43" t="n"/>
      <c r="J13" s="54">
        <f>I13*$B13</f>
        <v/>
      </c>
      <c r="K13" s="43" t="n"/>
      <c r="L13" s="54">
        <f>K13*$B13</f>
        <v/>
      </c>
      <c r="M13" s="43" t="n"/>
      <c r="N13" s="54">
        <f>M13*$B13</f>
        <v/>
      </c>
      <c r="O13" s="43" t="n"/>
      <c r="P13" s="54">
        <f>O13*$B13</f>
        <v/>
      </c>
      <c r="Q13" s="43" t="n"/>
      <c r="R13" s="54">
        <f>Q13*$B13</f>
        <v/>
      </c>
      <c r="S13" s="42" t="n"/>
      <c r="T13" s="54">
        <f>S13*$B13</f>
        <v/>
      </c>
      <c r="U13" s="42" t="n"/>
      <c r="V13" s="54">
        <f>U13*$B13</f>
        <v/>
      </c>
      <c r="W13" s="42" t="n"/>
      <c r="X13" s="54">
        <f>W13*$B13</f>
        <v/>
      </c>
      <c r="Y13" s="42" t="n"/>
      <c r="Z13" s="54">
        <f>Y13*$B13</f>
        <v/>
      </c>
      <c r="AA13" s="42" t="n"/>
      <c r="AB13" s="54">
        <f>AA13*$B13</f>
        <v/>
      </c>
      <c r="AC13" s="42" t="n"/>
      <c r="AD13" s="54">
        <f>AC13*$B13</f>
        <v/>
      </c>
      <c r="AE13" s="42" t="n"/>
      <c r="AF13" s="54">
        <f>AE13*$B13</f>
        <v/>
      </c>
      <c r="AG13" s="42" t="n"/>
      <c r="AH13" s="54">
        <f>AG13*$B13</f>
        <v/>
      </c>
      <c r="AI13" s="42" t="n"/>
      <c r="AJ13" s="54">
        <f>AI13*$B13</f>
        <v/>
      </c>
      <c r="AK13" s="42" t="n"/>
      <c r="AL13" s="54">
        <f>AK13*$B13</f>
        <v/>
      </c>
    </row>
    <row r="14">
      <c r="A14" s="33">
        <f>'1. Calcul de Marge Brute'!A18</f>
        <v/>
      </c>
      <c r="B14" s="40">
        <f>'1. Calcul de Marge Brute'!K18</f>
        <v/>
      </c>
      <c r="C14" s="43" t="n"/>
      <c r="D14" s="54">
        <f>C14*$B14</f>
        <v/>
      </c>
      <c r="E14" s="43" t="n"/>
      <c r="F14" s="54">
        <f>E14*$B14</f>
        <v/>
      </c>
      <c r="G14" s="43" t="n"/>
      <c r="H14" s="54">
        <f>G14*$B14</f>
        <v/>
      </c>
      <c r="I14" s="43" t="n"/>
      <c r="J14" s="54">
        <f>I14*$B14</f>
        <v/>
      </c>
      <c r="K14" s="43" t="n"/>
      <c r="L14" s="54">
        <f>K14*$B14</f>
        <v/>
      </c>
      <c r="M14" s="43" t="n"/>
      <c r="N14" s="54">
        <f>M14*$B14</f>
        <v/>
      </c>
      <c r="O14" s="43" t="n"/>
      <c r="P14" s="54">
        <f>O14*$B14</f>
        <v/>
      </c>
      <c r="Q14" s="43" t="n"/>
      <c r="R14" s="54">
        <f>Q14*$B14</f>
        <v/>
      </c>
      <c r="S14" s="42" t="n"/>
      <c r="T14" s="54">
        <f>S14*$B14</f>
        <v/>
      </c>
      <c r="U14" s="42" t="n"/>
      <c r="V14" s="54">
        <f>U14*$B14</f>
        <v/>
      </c>
      <c r="W14" s="42" t="n"/>
      <c r="X14" s="54">
        <f>W14*$B14</f>
        <v/>
      </c>
      <c r="Y14" s="42" t="n"/>
      <c r="Z14" s="54">
        <f>Y14*$B14</f>
        <v/>
      </c>
      <c r="AA14" s="42" t="n"/>
      <c r="AB14" s="54">
        <f>AA14*$B14</f>
        <v/>
      </c>
      <c r="AC14" s="42" t="n"/>
      <c r="AD14" s="54">
        <f>AC14*$B14</f>
        <v/>
      </c>
      <c r="AE14" s="42" t="n"/>
      <c r="AF14" s="54">
        <f>AE14*$B14</f>
        <v/>
      </c>
      <c r="AG14" s="42" t="n"/>
      <c r="AH14" s="54">
        <f>AG14*$B14</f>
        <v/>
      </c>
      <c r="AI14" s="42" t="n"/>
      <c r="AJ14" s="54">
        <f>AI14*$B14</f>
        <v/>
      </c>
      <c r="AK14" s="42" t="n"/>
      <c r="AL14" s="54">
        <f>AK14*$B14</f>
        <v/>
      </c>
    </row>
    <row r="15">
      <c r="A15" s="33">
        <f>'1. Calcul de Marge Brute'!A19</f>
        <v/>
      </c>
      <c r="B15" s="40">
        <f>'1. Calcul de Marge Brute'!K19</f>
        <v/>
      </c>
      <c r="C15" s="43" t="n"/>
      <c r="D15" s="54">
        <f>C15*$B15</f>
        <v/>
      </c>
      <c r="E15" s="43" t="n"/>
      <c r="F15" s="54">
        <f>E15*$B15</f>
        <v/>
      </c>
      <c r="G15" s="43" t="n"/>
      <c r="H15" s="54">
        <f>G15*$B15</f>
        <v/>
      </c>
      <c r="I15" s="43" t="n"/>
      <c r="J15" s="54">
        <f>I15*$B15</f>
        <v/>
      </c>
      <c r="K15" s="43" t="n"/>
      <c r="L15" s="54">
        <f>K15*$B15</f>
        <v/>
      </c>
      <c r="M15" s="43" t="n"/>
      <c r="N15" s="54">
        <f>M15*$B15</f>
        <v/>
      </c>
      <c r="O15" s="43" t="n"/>
      <c r="P15" s="54">
        <f>O15*$B15</f>
        <v/>
      </c>
      <c r="Q15" s="43" t="n"/>
      <c r="R15" s="54">
        <f>Q15*$B15</f>
        <v/>
      </c>
      <c r="S15" s="42" t="n"/>
      <c r="T15" s="54">
        <f>S15*$B15</f>
        <v/>
      </c>
      <c r="U15" s="42" t="n"/>
      <c r="V15" s="54">
        <f>U15*$B15</f>
        <v/>
      </c>
      <c r="W15" s="42" t="n"/>
      <c r="X15" s="54">
        <f>W15*$B15</f>
        <v/>
      </c>
      <c r="Y15" s="42" t="n"/>
      <c r="Z15" s="54">
        <f>Y15*$B15</f>
        <v/>
      </c>
      <c r="AA15" s="42" t="n"/>
      <c r="AB15" s="54">
        <f>AA15*$B15</f>
        <v/>
      </c>
      <c r="AC15" s="42" t="n"/>
      <c r="AD15" s="54">
        <f>AC15*$B15</f>
        <v/>
      </c>
      <c r="AE15" s="42" t="n"/>
      <c r="AF15" s="54">
        <f>AE15*$B15</f>
        <v/>
      </c>
      <c r="AG15" s="42" t="n"/>
      <c r="AH15" s="54">
        <f>AG15*$B15</f>
        <v/>
      </c>
      <c r="AI15" s="42" t="n"/>
      <c r="AJ15" s="54">
        <f>AI15*$B15</f>
        <v/>
      </c>
      <c r="AK15" s="42" t="n"/>
      <c r="AL15" s="54">
        <f>AK15*$B15</f>
        <v/>
      </c>
    </row>
    <row r="16">
      <c r="A16" s="33">
        <f>'1. Calcul de Marge Brute'!A20</f>
        <v/>
      </c>
      <c r="B16" s="40">
        <f>'1. Calcul de Marge Brute'!K20</f>
        <v/>
      </c>
      <c r="C16" s="43" t="n"/>
      <c r="D16" s="54">
        <f>C16*$B16</f>
        <v/>
      </c>
      <c r="E16" s="43" t="n"/>
      <c r="F16" s="54">
        <f>E16*$B16</f>
        <v/>
      </c>
      <c r="G16" s="43" t="n"/>
      <c r="H16" s="54">
        <f>G16*$B16</f>
        <v/>
      </c>
      <c r="I16" s="43" t="n"/>
      <c r="J16" s="54">
        <f>I16*$B16</f>
        <v/>
      </c>
      <c r="K16" s="43" t="n"/>
      <c r="L16" s="54">
        <f>K16*$B16</f>
        <v/>
      </c>
      <c r="M16" s="43" t="n"/>
      <c r="N16" s="54">
        <f>M16*$B16</f>
        <v/>
      </c>
      <c r="O16" s="43" t="n"/>
      <c r="P16" s="54">
        <f>O16*$B16</f>
        <v/>
      </c>
      <c r="Q16" s="43" t="n"/>
      <c r="R16" s="54">
        <f>Q16*$B16</f>
        <v/>
      </c>
      <c r="S16" s="42" t="n"/>
      <c r="T16" s="54">
        <f>S16*$B16</f>
        <v/>
      </c>
      <c r="U16" s="42" t="n"/>
      <c r="V16" s="54">
        <f>U16*$B16</f>
        <v/>
      </c>
      <c r="W16" s="42" t="n"/>
      <c r="X16" s="54">
        <f>W16*$B16</f>
        <v/>
      </c>
      <c r="Y16" s="42" t="n"/>
      <c r="Z16" s="54">
        <f>Y16*$B16</f>
        <v/>
      </c>
      <c r="AA16" s="42" t="n"/>
      <c r="AB16" s="54">
        <f>AA16*$B16</f>
        <v/>
      </c>
      <c r="AC16" s="42" t="n"/>
      <c r="AD16" s="54">
        <f>AC16*$B16</f>
        <v/>
      </c>
      <c r="AE16" s="42" t="n"/>
      <c r="AF16" s="54">
        <f>AE16*$B16</f>
        <v/>
      </c>
      <c r="AG16" s="42" t="n"/>
      <c r="AH16" s="54">
        <f>AG16*$B16</f>
        <v/>
      </c>
      <c r="AI16" s="42" t="n"/>
      <c r="AJ16" s="54">
        <f>AI16*$B16</f>
        <v/>
      </c>
      <c r="AK16" s="42" t="n"/>
      <c r="AL16" s="54">
        <f>AK16*$B16</f>
        <v/>
      </c>
    </row>
    <row r="17">
      <c r="A17" s="33">
        <f>'1. Calcul de Marge Brute'!A21</f>
        <v/>
      </c>
      <c r="B17" s="40">
        <f>'1. Calcul de Marge Brute'!K21</f>
        <v/>
      </c>
      <c r="C17" s="43" t="n"/>
      <c r="D17" s="54">
        <f>C17*$B17</f>
        <v/>
      </c>
      <c r="E17" s="43" t="n"/>
      <c r="F17" s="54">
        <f>E17*$B17</f>
        <v/>
      </c>
      <c r="G17" s="43" t="n"/>
      <c r="H17" s="54">
        <f>G17*$B17</f>
        <v/>
      </c>
      <c r="I17" s="43" t="n"/>
      <c r="J17" s="54">
        <f>I17*$B17</f>
        <v/>
      </c>
      <c r="K17" s="43" t="n"/>
      <c r="L17" s="54">
        <f>K17*$B17</f>
        <v/>
      </c>
      <c r="M17" s="43" t="n"/>
      <c r="N17" s="54">
        <f>M17*$B17</f>
        <v/>
      </c>
      <c r="O17" s="43" t="n"/>
      <c r="P17" s="54">
        <f>O17*$B17</f>
        <v/>
      </c>
      <c r="Q17" s="43" t="n"/>
      <c r="R17" s="54">
        <f>Q17*$B17</f>
        <v/>
      </c>
      <c r="S17" s="42" t="n"/>
      <c r="T17" s="54">
        <f>S17*$B17</f>
        <v/>
      </c>
      <c r="U17" s="42" t="n"/>
      <c r="V17" s="54">
        <f>U17*$B17</f>
        <v/>
      </c>
      <c r="W17" s="42" t="n"/>
      <c r="X17" s="54">
        <f>W17*$B17</f>
        <v/>
      </c>
      <c r="Y17" s="42" t="n"/>
      <c r="Z17" s="54">
        <f>Y17*$B17</f>
        <v/>
      </c>
      <c r="AA17" s="42" t="n"/>
      <c r="AB17" s="54">
        <f>AA17*$B17</f>
        <v/>
      </c>
      <c r="AC17" s="42" t="n"/>
      <c r="AD17" s="54">
        <f>AC17*$B17</f>
        <v/>
      </c>
      <c r="AE17" s="42" t="n"/>
      <c r="AF17" s="54">
        <f>AE17*$B17</f>
        <v/>
      </c>
      <c r="AG17" s="42" t="n"/>
      <c r="AH17" s="54">
        <f>AG17*$B17</f>
        <v/>
      </c>
      <c r="AI17" s="42" t="n"/>
      <c r="AJ17" s="54">
        <f>AI17*$B17</f>
        <v/>
      </c>
      <c r="AK17" s="42" t="n"/>
      <c r="AL17" s="54">
        <f>AK17*$B17</f>
        <v/>
      </c>
    </row>
    <row r="18">
      <c r="A18" s="33">
        <f>'1. Calcul de Marge Brute'!A22</f>
        <v/>
      </c>
      <c r="B18" s="40">
        <f>'1. Calcul de Marge Brute'!K22</f>
        <v/>
      </c>
      <c r="C18" s="43" t="n"/>
      <c r="D18" s="54">
        <f>C18*$B18</f>
        <v/>
      </c>
      <c r="E18" s="43" t="n"/>
      <c r="F18" s="54">
        <f>E18*$B18</f>
        <v/>
      </c>
      <c r="G18" s="43" t="n"/>
      <c r="H18" s="54">
        <f>G18*$B18</f>
        <v/>
      </c>
      <c r="I18" s="43" t="n"/>
      <c r="J18" s="54">
        <f>I18*$B18</f>
        <v/>
      </c>
      <c r="K18" s="43" t="n"/>
      <c r="L18" s="54">
        <f>K18*$B18</f>
        <v/>
      </c>
      <c r="M18" s="43" t="n"/>
      <c r="N18" s="54">
        <f>M18*$B18</f>
        <v/>
      </c>
      <c r="O18" s="43" t="n"/>
      <c r="P18" s="54">
        <f>O18*$B18</f>
        <v/>
      </c>
      <c r="Q18" s="43" t="n"/>
      <c r="R18" s="54">
        <f>Q18*$B18</f>
        <v/>
      </c>
      <c r="S18" s="42" t="n"/>
      <c r="T18" s="54">
        <f>S18*$B18</f>
        <v/>
      </c>
      <c r="U18" s="42" t="n"/>
      <c r="V18" s="54">
        <f>U18*$B18</f>
        <v/>
      </c>
      <c r="W18" s="42" t="n"/>
      <c r="X18" s="54">
        <f>W18*$B18</f>
        <v/>
      </c>
      <c r="Y18" s="42" t="n"/>
      <c r="Z18" s="54">
        <f>Y18*$B18</f>
        <v/>
      </c>
      <c r="AA18" s="42" t="n"/>
      <c r="AB18" s="54">
        <f>AA18*$B18</f>
        <v/>
      </c>
      <c r="AC18" s="42" t="n"/>
      <c r="AD18" s="54">
        <f>AC18*$B18</f>
        <v/>
      </c>
      <c r="AE18" s="42" t="n"/>
      <c r="AF18" s="54">
        <f>AE18*$B18</f>
        <v/>
      </c>
      <c r="AG18" s="42" t="n"/>
      <c r="AH18" s="54">
        <f>AG18*$B18</f>
        <v/>
      </c>
      <c r="AI18" s="42" t="n"/>
      <c r="AJ18" s="54">
        <f>AI18*$B18</f>
        <v/>
      </c>
      <c r="AK18" s="42" t="n"/>
      <c r="AL18" s="54">
        <f>AK18*$B18</f>
        <v/>
      </c>
    </row>
    <row r="19" ht="13.8" customHeight="1" thickBot="1">
      <c r="A19" s="49" t="n"/>
      <c r="B19" s="50" t="n"/>
      <c r="C19" s="51" t="n"/>
      <c r="D19" s="52" t="n"/>
      <c r="E19" s="51" t="n"/>
      <c r="F19" s="53" t="n"/>
      <c r="G19" s="51" t="n"/>
      <c r="H19" s="53" t="n"/>
      <c r="I19" s="51" t="n"/>
      <c r="J19" s="52" t="n"/>
      <c r="K19" s="51" t="n"/>
      <c r="L19" s="52" t="n"/>
      <c r="M19" s="51" t="n"/>
      <c r="N19" s="52" t="n"/>
      <c r="O19" s="51" t="n"/>
      <c r="P19" s="52" t="n"/>
      <c r="Q19" s="51" t="n"/>
      <c r="R19" s="52" t="n"/>
      <c r="S19" s="51" t="n"/>
      <c r="T19" s="52" t="n"/>
      <c r="U19" s="51" t="n"/>
      <c r="V19" s="52" t="n"/>
      <c r="W19" s="51" t="n"/>
      <c r="X19" s="52" t="n"/>
      <c r="Y19" s="51" t="n"/>
      <c r="Z19" s="52" t="n"/>
      <c r="AA19" s="51" t="n"/>
      <c r="AB19" s="52" t="n"/>
      <c r="AC19" s="51" t="n"/>
      <c r="AD19" s="52" t="n"/>
      <c r="AE19" s="51" t="n"/>
      <c r="AF19" s="52" t="n"/>
      <c r="AG19" s="51" t="n"/>
      <c r="AH19" s="52" t="n"/>
      <c r="AI19" s="51" t="n"/>
      <c r="AJ19" s="52" t="n"/>
      <c r="AK19" s="51" t="n"/>
      <c r="AL19" s="52" t="n"/>
    </row>
    <row r="20" ht="15" customHeight="1" thickBot="1">
      <c r="A20" s="28" t="inlineStr">
        <is>
          <t>TOTAUX</t>
        </is>
      </c>
      <c r="B20" s="29" t="n"/>
      <c r="C20" s="34" t="n"/>
      <c r="D20" s="55">
        <f>SUM(D6:D19)</f>
        <v/>
      </c>
      <c r="E20" s="35" t="n"/>
      <c r="F20" s="55">
        <f>SUM(F6:F19)</f>
        <v/>
      </c>
      <c r="G20" s="35" t="n"/>
      <c r="H20" s="55">
        <f>SUM(H6:H19)</f>
        <v/>
      </c>
      <c r="I20" s="35" t="n"/>
      <c r="J20" s="55">
        <f>SUM(J6:J19)</f>
        <v/>
      </c>
      <c r="K20" s="35" t="n"/>
      <c r="L20" s="55">
        <f>SUM(L6:L19)</f>
        <v/>
      </c>
      <c r="M20" s="35" t="n"/>
      <c r="N20" s="55">
        <f>SUM(N6:N19)</f>
        <v/>
      </c>
      <c r="O20" s="35" t="n"/>
      <c r="P20" s="55">
        <f>SUM(P6:P19)</f>
        <v/>
      </c>
      <c r="Q20" s="35" t="n"/>
      <c r="R20" s="55">
        <f>SUM(R6:R19)</f>
        <v/>
      </c>
      <c r="S20" s="35" t="n"/>
      <c r="T20" s="55">
        <f>SUM(T6:T19)</f>
        <v/>
      </c>
      <c r="U20" s="35" t="n"/>
      <c r="V20" s="55">
        <f>SUM(V6:V19)</f>
        <v/>
      </c>
      <c r="W20" s="35" t="n"/>
      <c r="X20" s="55">
        <f>SUM(X6:X19)</f>
        <v/>
      </c>
      <c r="Y20" s="35" t="n"/>
      <c r="Z20" s="55">
        <f>SUM(Z6:Z19)</f>
        <v/>
      </c>
      <c r="AA20" s="35" t="n"/>
      <c r="AB20" s="55">
        <f>SUM(AB6:AB19)</f>
        <v/>
      </c>
      <c r="AC20" s="35" t="n"/>
      <c r="AD20" s="55">
        <f>SUM(AD6:AD19)</f>
        <v/>
      </c>
      <c r="AE20" s="35" t="n"/>
      <c r="AF20" s="55">
        <f>SUM(AF6:AF19)</f>
        <v/>
      </c>
      <c r="AG20" s="35" t="n"/>
      <c r="AH20" s="55">
        <f>SUM(AH6:AH19)</f>
        <v/>
      </c>
      <c r="AI20" s="35" t="n"/>
      <c r="AJ20" s="55">
        <f>SUM(AJ6:AJ19)</f>
        <v/>
      </c>
      <c r="AK20" s="35" t="n"/>
      <c r="AL20" s="55">
        <f>SUM(AL6:AL19)</f>
        <v/>
      </c>
    </row>
    <row r="21" ht="15" customHeight="1" thickBot="1">
      <c r="A21" s="30" t="inlineStr">
        <is>
          <t>MARGE BRUTE CUMULEE</t>
        </is>
      </c>
      <c r="B21" s="29" t="n"/>
      <c r="C21" s="34" t="n"/>
      <c r="D21" s="35" t="n"/>
      <c r="E21" s="35" t="n"/>
      <c r="F21" s="56">
        <f>D20+F20</f>
        <v/>
      </c>
      <c r="G21" s="35" t="n"/>
      <c r="H21" s="56">
        <f>F21+H20</f>
        <v/>
      </c>
      <c r="I21" s="35" t="n"/>
      <c r="J21" s="56">
        <f>H21+J20</f>
        <v/>
      </c>
      <c r="K21" s="35" t="n"/>
      <c r="L21" s="56">
        <f>J21+L20</f>
        <v/>
      </c>
      <c r="M21" s="35" t="n"/>
      <c r="N21" s="56">
        <f>L21+N20</f>
        <v/>
      </c>
      <c r="O21" s="35" t="n"/>
      <c r="P21" s="56">
        <f>N21+P20</f>
        <v/>
      </c>
      <c r="Q21" s="35" t="n"/>
      <c r="R21" s="56">
        <f>P21+R20</f>
        <v/>
      </c>
      <c r="S21" s="35" t="n"/>
      <c r="T21" s="56">
        <f>R21+T20</f>
        <v/>
      </c>
      <c r="U21" s="35" t="n"/>
      <c r="V21" s="56">
        <f>T21+V20</f>
        <v/>
      </c>
      <c r="W21" s="35" t="n"/>
      <c r="X21" s="56">
        <f>V21+X20</f>
        <v/>
      </c>
      <c r="Y21" s="35" t="n"/>
      <c r="Z21" s="56">
        <f>X21+Z20</f>
        <v/>
      </c>
      <c r="AA21" s="35" t="n"/>
      <c r="AB21" s="56">
        <f>Z21+AB20</f>
        <v/>
      </c>
      <c r="AC21" s="35" t="n"/>
      <c r="AD21" s="56">
        <f>AB21+AD20</f>
        <v/>
      </c>
      <c r="AE21" s="35" t="n"/>
      <c r="AF21" s="56">
        <f>AD21+AF20</f>
        <v/>
      </c>
      <c r="AG21" s="35" t="n"/>
      <c r="AH21" s="56">
        <f>AF21+AH20</f>
        <v/>
      </c>
      <c r="AI21" s="35" t="n"/>
      <c r="AJ21" s="56">
        <f>AH21+AJ20</f>
        <v/>
      </c>
      <c r="AK21" s="35" t="n"/>
      <c r="AL21" s="56">
        <f>AJ21+AL20</f>
        <v/>
      </c>
    </row>
    <row r="22">
      <c r="N22" s="57" t="n"/>
    </row>
    <row r="23">
      <c r="A23" s="47" t="inlineStr">
        <is>
          <t>ATTENTION: Pensez à vérifier la saisonnalité de votre profession: ventes en été, reprise à la rentrée, hiver haut ou bas, effets des évenemnents type 'marroniers', etc.?</t>
        </is>
      </c>
    </row>
  </sheetData>
  <mergeCells count="36">
    <mergeCell ref="AG4:AH4"/>
    <mergeCell ref="W4:X4"/>
    <mergeCell ref="O3:P3"/>
    <mergeCell ref="Y4:Z4"/>
    <mergeCell ref="Q3:R3"/>
    <mergeCell ref="Y3:Z3"/>
    <mergeCell ref="S3:T3"/>
    <mergeCell ref="C4:D4"/>
    <mergeCell ref="AK4:AL4"/>
    <mergeCell ref="AC3:AD3"/>
    <mergeCell ref="E4:F4"/>
    <mergeCell ref="AE3:AF3"/>
    <mergeCell ref="AK3:AL3"/>
    <mergeCell ref="AE4:AF4"/>
    <mergeCell ref="O4:P4"/>
    <mergeCell ref="W3:X3"/>
    <mergeCell ref="G3:H3"/>
    <mergeCell ref="AA4:AB4"/>
    <mergeCell ref="Q4:R4"/>
    <mergeCell ref="AC4:AD4"/>
    <mergeCell ref="AI4:AJ4"/>
    <mergeCell ref="I3:J3"/>
    <mergeCell ref="U3:V3"/>
    <mergeCell ref="M3:N3"/>
    <mergeCell ref="G4:H4"/>
    <mergeCell ref="AA3:AB3"/>
    <mergeCell ref="AG3:AH3"/>
    <mergeCell ref="I4:J4"/>
    <mergeCell ref="AI3:AJ3"/>
    <mergeCell ref="K4:L4"/>
    <mergeCell ref="C3:D3"/>
    <mergeCell ref="M4:N4"/>
    <mergeCell ref="S4:T4"/>
    <mergeCell ref="E3:F3"/>
    <mergeCell ref="K3:L3"/>
    <mergeCell ref="U4:V4"/>
  </mergeCells>
  <pageMargins left="0.2362204724409449" right="0.2362204724409449" top="0.7480314960629921" bottom="0.7480314960629921" header="0.3149606299212598" footer="0.3149606299212598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92D050"/>
    <outlinePr summaryBelow="1" summaryRight="1"/>
    <pageSetUpPr/>
  </sheetPr>
  <dimension ref="A1:AL23"/>
  <sheetViews>
    <sheetView workbookViewId="0">
      <selection activeCell="C3" sqref="C3:AL3"/>
    </sheetView>
  </sheetViews>
  <sheetFormatPr baseColWidth="10" defaultColWidth="11.44140625" defaultRowHeight="13.2"/>
  <cols>
    <col width="30" customWidth="1" min="1" max="1"/>
    <col width="7.6640625" customWidth="1" min="2" max="2"/>
    <col width="4.109375" customWidth="1" min="3" max="3"/>
    <col width="6.6640625" customWidth="1" min="4" max="4"/>
    <col width="5" customWidth="1" min="5" max="5"/>
    <col width="7" customWidth="1" min="6" max="6"/>
    <col width="4.109375" customWidth="1" min="7" max="7"/>
    <col width="6.6640625" customWidth="1" min="8" max="8"/>
    <col width="3.6640625" customWidth="1" min="9" max="9"/>
    <col width="7.33203125" customWidth="1" min="10" max="10"/>
    <col width="4.109375" customWidth="1" min="11" max="11"/>
    <col width="6.44140625" customWidth="1" min="12" max="12"/>
    <col width="4.109375" customWidth="1" min="13" max="13"/>
    <col width="7" customWidth="1" min="14" max="14"/>
    <col width="3.6640625" customWidth="1" min="15" max="15"/>
    <col width="7.109375" customWidth="1" min="16" max="16"/>
    <col width="4.44140625" customWidth="1" min="17" max="17"/>
    <col width="6.44140625" customWidth="1" min="18" max="18"/>
    <col width="5.109375" customWidth="1" min="19" max="19"/>
    <col width="6.109375" customWidth="1" min="20" max="20"/>
    <col width="4.109375" customWidth="1" min="21" max="21"/>
    <col width="6.109375" customWidth="1" min="22" max="22"/>
    <col width="3.6640625" customWidth="1" min="23" max="23"/>
    <col width="6.109375" customWidth="1" min="24" max="24"/>
    <col width="4.109375" customWidth="1" min="25" max="25"/>
    <col width="6.109375" customWidth="1" min="26" max="26"/>
    <col width="4" customWidth="1" min="27" max="27"/>
    <col width="6.109375" customWidth="1" min="28" max="28"/>
    <col width="3.6640625" customWidth="1" min="29" max="29"/>
    <col width="6.109375" customWidth="1" min="30" max="30"/>
    <col width="4" customWidth="1" min="31" max="31"/>
    <col width="6.109375" customWidth="1" min="32" max="32"/>
    <col width="4" customWidth="1" min="33" max="33"/>
    <col width="6.109375" customWidth="1" min="34" max="34"/>
    <col width="4.109375" customWidth="1" min="35" max="35"/>
    <col width="6.109375" customWidth="1" min="36" max="36"/>
    <col width="4.44140625" customWidth="1" min="37" max="37"/>
    <col width="6.109375" customWidth="1" min="38" max="38"/>
  </cols>
  <sheetData>
    <row r="1" ht="17.4" customHeight="1">
      <c r="A1" s="36" t="inlineStr">
        <is>
          <t>Réalisé</t>
        </is>
      </c>
      <c r="B1" s="1" t="inlineStr">
        <is>
          <t xml:space="preserve">Nom : </t>
        </is>
      </c>
      <c r="C1" t="inlineStr">
        <is>
          <t>Oliver Van Droogenbroeck</t>
        </is>
      </c>
    </row>
    <row r="2" ht="13.8" customHeight="1" thickBot="1"/>
    <row r="3" ht="13.8" customHeight="1" thickBot="1">
      <c r="A3" s="22" t="n"/>
      <c r="B3" s="23" t="n"/>
      <c r="C3" s="90" t="n">
        <v>46266</v>
      </c>
      <c r="D3" s="91" t="n"/>
      <c r="E3" s="90" t="n">
        <v>46296</v>
      </c>
      <c r="F3" s="91" t="n"/>
      <c r="G3" s="90" t="n">
        <v>46327</v>
      </c>
      <c r="H3" s="91" t="n"/>
      <c r="I3" s="90" t="n">
        <v>46357</v>
      </c>
      <c r="J3" s="91" t="n"/>
      <c r="K3" s="90" t="n">
        <v>46388</v>
      </c>
      <c r="L3" s="91" t="n"/>
      <c r="M3" s="90" t="n">
        <v>46419</v>
      </c>
      <c r="N3" s="91" t="n"/>
      <c r="O3" s="90" t="n">
        <v>46447</v>
      </c>
      <c r="P3" s="91" t="n"/>
      <c r="Q3" s="90" t="n">
        <v>46478</v>
      </c>
      <c r="R3" s="91" t="n"/>
      <c r="S3" s="90" t="n">
        <v>46508</v>
      </c>
      <c r="T3" s="91" t="n"/>
      <c r="U3" s="90" t="n">
        <v>46539</v>
      </c>
      <c r="V3" s="91" t="n"/>
      <c r="W3" s="90" t="n">
        <v>46569</v>
      </c>
      <c r="X3" s="91" t="n"/>
      <c r="Y3" s="90" t="n">
        <v>46600</v>
      </c>
      <c r="Z3" s="91" t="n"/>
      <c r="AA3" s="90" t="n">
        <v>46631</v>
      </c>
      <c r="AB3" s="91" t="n"/>
      <c r="AC3" s="90" t="n">
        <v>46661</v>
      </c>
      <c r="AD3" s="91" t="n"/>
      <c r="AE3" s="90" t="n">
        <v>46692</v>
      </c>
      <c r="AF3" s="91" t="n"/>
      <c r="AG3" s="90" t="n">
        <v>46722</v>
      </c>
      <c r="AH3" s="91" t="n"/>
      <c r="AI3" s="90" t="n">
        <v>46753</v>
      </c>
      <c r="AJ3" s="91" t="n"/>
      <c r="AK3" s="90" t="n">
        <v>46784</v>
      </c>
      <c r="AL3" s="91" t="n"/>
    </row>
    <row r="4" ht="30" customHeight="1" thickBot="1">
      <c r="A4" s="24" t="inlineStr">
        <is>
          <t>TYPE DE PRESTATION</t>
        </is>
      </c>
      <c r="B4" s="25" t="inlineStr">
        <is>
          <t>Marge U</t>
        </is>
      </c>
      <c r="C4" s="92" t="n">
        <v>1</v>
      </c>
      <c r="D4" s="93" t="n"/>
      <c r="E4" s="92" t="n">
        <v>2</v>
      </c>
      <c r="F4" s="93" t="n"/>
      <c r="G4" s="92" t="n">
        <v>3</v>
      </c>
      <c r="H4" s="93" t="n"/>
      <c r="I4" s="92" t="n">
        <v>4</v>
      </c>
      <c r="J4" s="93" t="n"/>
      <c r="K4" s="92" t="n">
        <v>5</v>
      </c>
      <c r="L4" s="93" t="n"/>
      <c r="M4" s="92" t="n">
        <v>6</v>
      </c>
      <c r="N4" s="93" t="n"/>
      <c r="O4" s="92" t="n">
        <v>7</v>
      </c>
      <c r="P4" s="93" t="n"/>
      <c r="Q4" s="92" t="n">
        <v>8</v>
      </c>
      <c r="R4" s="93" t="n"/>
      <c r="S4" s="92" t="n">
        <v>9</v>
      </c>
      <c r="T4" s="93" t="n"/>
      <c r="U4" s="92" t="n">
        <v>10</v>
      </c>
      <c r="V4" s="93" t="n"/>
      <c r="W4" s="92" t="n">
        <v>11</v>
      </c>
      <c r="X4" s="93" t="n"/>
      <c r="Y4" s="92" t="n">
        <v>12</v>
      </c>
      <c r="Z4" s="93" t="n"/>
      <c r="AA4" s="92" t="n">
        <v>13</v>
      </c>
      <c r="AB4" s="93" t="n"/>
      <c r="AC4" s="92" t="n">
        <v>14</v>
      </c>
      <c r="AD4" s="93" t="n"/>
      <c r="AE4" s="92" t="n">
        <v>15</v>
      </c>
      <c r="AF4" s="93" t="n"/>
      <c r="AG4" s="92" t="n">
        <v>16</v>
      </c>
      <c r="AH4" s="93" t="n"/>
      <c r="AI4" s="92" t="n">
        <v>17</v>
      </c>
      <c r="AJ4" s="93" t="n"/>
      <c r="AK4" s="92" t="n">
        <v>18</v>
      </c>
      <c r="AL4" s="93" t="n"/>
    </row>
    <row r="5">
      <c r="A5" s="26" t="n"/>
      <c r="B5" s="31" t="inlineStr">
        <is>
          <t>HTVA</t>
        </is>
      </c>
      <c r="C5" s="27" t="inlineStr">
        <is>
          <t>Nbre</t>
        </is>
      </c>
      <c r="D5" s="32" t="inlineStr">
        <is>
          <t>Tot.</t>
        </is>
      </c>
      <c r="E5" s="27" t="inlineStr">
        <is>
          <t>Nbre</t>
        </is>
      </c>
      <c r="F5" s="32" t="inlineStr">
        <is>
          <t>Tot.</t>
        </is>
      </c>
      <c r="G5" s="27" t="inlineStr">
        <is>
          <t>Nbre</t>
        </is>
      </c>
      <c r="H5" s="32" t="inlineStr">
        <is>
          <t>Tot.</t>
        </is>
      </c>
      <c r="I5" s="27" t="inlineStr">
        <is>
          <t>Nbre</t>
        </is>
      </c>
      <c r="J5" s="32" t="inlineStr">
        <is>
          <t>Tot.</t>
        </is>
      </c>
      <c r="K5" s="27" t="inlineStr">
        <is>
          <t>Nbre</t>
        </is>
      </c>
      <c r="L5" s="32" t="inlineStr">
        <is>
          <t>Tot.</t>
        </is>
      </c>
      <c r="M5" s="27" t="inlineStr">
        <is>
          <t>Nbre</t>
        </is>
      </c>
      <c r="N5" s="32" t="inlineStr">
        <is>
          <t>Tot.</t>
        </is>
      </c>
      <c r="O5" s="27" t="inlineStr">
        <is>
          <t>Nbre</t>
        </is>
      </c>
      <c r="P5" s="32" t="inlineStr">
        <is>
          <t>Tot.</t>
        </is>
      </c>
      <c r="Q5" s="27" t="inlineStr">
        <is>
          <t>Nbre</t>
        </is>
      </c>
      <c r="R5" s="32" t="inlineStr">
        <is>
          <t>Tot.</t>
        </is>
      </c>
      <c r="S5" s="27" t="inlineStr">
        <is>
          <t>Nbre</t>
        </is>
      </c>
      <c r="T5" s="32" t="inlineStr">
        <is>
          <t>Tot.</t>
        </is>
      </c>
      <c r="U5" s="27" t="inlineStr">
        <is>
          <t>Nbre</t>
        </is>
      </c>
      <c r="V5" s="32" t="inlineStr">
        <is>
          <t>Tot.</t>
        </is>
      </c>
      <c r="W5" s="27" t="inlineStr">
        <is>
          <t>Nbre</t>
        </is>
      </c>
      <c r="X5" s="32" t="inlineStr">
        <is>
          <t>Tot.</t>
        </is>
      </c>
      <c r="Y5" s="27" t="inlineStr">
        <is>
          <t>Nbre</t>
        </is>
      </c>
      <c r="Z5" s="32" t="inlineStr">
        <is>
          <t>Tot.</t>
        </is>
      </c>
      <c r="AA5" s="27" t="inlineStr">
        <is>
          <t>Nbre</t>
        </is>
      </c>
      <c r="AB5" s="32" t="inlineStr">
        <is>
          <t>Tot.</t>
        </is>
      </c>
      <c r="AC5" s="27" t="inlineStr">
        <is>
          <t>Nbre</t>
        </is>
      </c>
      <c r="AD5" s="32" t="inlineStr">
        <is>
          <t>Tot.</t>
        </is>
      </c>
      <c r="AE5" s="27" t="inlineStr">
        <is>
          <t>Nbre</t>
        </is>
      </c>
      <c r="AF5" s="32" t="inlineStr">
        <is>
          <t>Tot.</t>
        </is>
      </c>
      <c r="AG5" s="27" t="inlineStr">
        <is>
          <t>Nbre</t>
        </is>
      </c>
      <c r="AH5" s="32" t="inlineStr">
        <is>
          <t>Tot.</t>
        </is>
      </c>
      <c r="AI5" s="27" t="inlineStr">
        <is>
          <t>Nbre</t>
        </is>
      </c>
      <c r="AJ5" s="32" t="inlineStr">
        <is>
          <t>Tot.</t>
        </is>
      </c>
      <c r="AK5" s="27" t="inlineStr">
        <is>
          <t>Nbre</t>
        </is>
      </c>
      <c r="AL5" s="32" t="inlineStr">
        <is>
          <t>Tot.</t>
        </is>
      </c>
    </row>
    <row r="6">
      <c r="A6" s="37">
        <f>'1. Calcul de Marge Brute'!A10</f>
        <v/>
      </c>
      <c r="B6" s="40">
        <f>'1. Calcul de Marge Brute'!K10</f>
        <v/>
      </c>
      <c r="C6" s="45" t="n"/>
      <c r="D6" s="54">
        <f>C6*$B6</f>
        <v/>
      </c>
      <c r="E6" s="45" t="n"/>
      <c r="F6" s="54">
        <f>E6*$B6</f>
        <v/>
      </c>
      <c r="G6" s="45" t="n"/>
      <c r="H6" s="54">
        <f>G6*$B6</f>
        <v/>
      </c>
      <c r="I6" s="45" t="n"/>
      <c r="J6" s="54">
        <f>I6*$B6</f>
        <v/>
      </c>
      <c r="K6" s="45" t="n"/>
      <c r="L6" s="54">
        <f>K6*$B6</f>
        <v/>
      </c>
      <c r="M6" s="45" t="n"/>
      <c r="N6" s="54">
        <f>M6*$B6</f>
        <v/>
      </c>
      <c r="O6" s="45" t="n"/>
      <c r="P6" s="54">
        <f>O6*$B6</f>
        <v/>
      </c>
      <c r="Q6" s="45" t="n"/>
      <c r="R6" s="54">
        <f>Q6*$B6</f>
        <v/>
      </c>
      <c r="S6" s="45" t="n"/>
      <c r="T6" s="54">
        <f>S6*$B6</f>
        <v/>
      </c>
      <c r="U6" s="45" t="n"/>
      <c r="V6" s="54">
        <f>U6*$B6</f>
        <v/>
      </c>
      <c r="W6" s="45" t="n"/>
      <c r="X6" s="54">
        <f>W6*$B6</f>
        <v/>
      </c>
      <c r="Y6" s="45" t="n"/>
      <c r="Z6" s="54">
        <f>Y6*$B6</f>
        <v/>
      </c>
      <c r="AA6" s="45" t="n"/>
      <c r="AB6" s="54">
        <f>AA6*$B6</f>
        <v/>
      </c>
      <c r="AC6" s="45" t="n"/>
      <c r="AD6" s="54">
        <f>AC6*$B6</f>
        <v/>
      </c>
      <c r="AE6" s="45" t="n"/>
      <c r="AF6" s="54">
        <f>AE6*$B6</f>
        <v/>
      </c>
      <c r="AG6" s="45" t="n"/>
      <c r="AH6" s="54">
        <f>AG6*$B6</f>
        <v/>
      </c>
      <c r="AI6" s="45" t="n"/>
      <c r="AJ6" s="54">
        <f>AI6*$B6</f>
        <v/>
      </c>
      <c r="AK6" s="45" t="n"/>
      <c r="AL6" s="54">
        <f>AK6*$B6</f>
        <v/>
      </c>
    </row>
    <row r="7">
      <c r="A7" s="37">
        <f>'1. Calcul de Marge Brute'!A11</f>
        <v/>
      </c>
      <c r="B7" s="40">
        <f>'1. Calcul de Marge Brute'!K11</f>
        <v/>
      </c>
      <c r="C7" s="45" t="n"/>
      <c r="D7" s="54">
        <f>C7*$B7</f>
        <v/>
      </c>
      <c r="E7" s="45" t="n"/>
      <c r="F7" s="54">
        <f>E7*$B7</f>
        <v/>
      </c>
      <c r="G7" s="45" t="n"/>
      <c r="H7" s="54">
        <f>G7*$B7</f>
        <v/>
      </c>
      <c r="I7" s="45" t="n"/>
      <c r="J7" s="54">
        <f>I7*$B7</f>
        <v/>
      </c>
      <c r="K7" s="45" t="n"/>
      <c r="L7" s="54">
        <f>K7*$B7</f>
        <v/>
      </c>
      <c r="M7" s="45" t="n"/>
      <c r="N7" s="54">
        <f>M7*$B7</f>
        <v/>
      </c>
      <c r="O7" s="45" t="n"/>
      <c r="P7" s="54">
        <f>O7*$B7</f>
        <v/>
      </c>
      <c r="Q7" s="45" t="n"/>
      <c r="R7" s="54">
        <f>Q7*$B7</f>
        <v/>
      </c>
      <c r="S7" s="45" t="n"/>
      <c r="T7" s="54">
        <f>S7*$B7</f>
        <v/>
      </c>
      <c r="U7" s="45" t="n"/>
      <c r="V7" s="54">
        <f>U7*$B7</f>
        <v/>
      </c>
      <c r="W7" s="45" t="n"/>
      <c r="X7" s="54">
        <f>W7*$B7</f>
        <v/>
      </c>
      <c r="Y7" s="45" t="n"/>
      <c r="Z7" s="54">
        <f>Y7*$B7</f>
        <v/>
      </c>
      <c r="AA7" s="45" t="n"/>
      <c r="AB7" s="54">
        <f>AA7*$B7</f>
        <v/>
      </c>
      <c r="AC7" s="45" t="n"/>
      <c r="AD7" s="54">
        <f>AC7*$B7</f>
        <v/>
      </c>
      <c r="AE7" s="45" t="n"/>
      <c r="AF7" s="54">
        <f>AE7*$B7</f>
        <v/>
      </c>
      <c r="AG7" s="45" t="n"/>
      <c r="AH7" s="54">
        <f>AG7*$B7</f>
        <v/>
      </c>
      <c r="AI7" s="45" t="n"/>
      <c r="AJ7" s="54">
        <f>AI7*$B7</f>
        <v/>
      </c>
      <c r="AK7" s="45" t="n"/>
      <c r="AL7" s="54">
        <f>AK7*$B7</f>
        <v/>
      </c>
    </row>
    <row r="8">
      <c r="A8" s="37">
        <f>'1. Calcul de Marge Brute'!A12</f>
        <v/>
      </c>
      <c r="B8" s="40">
        <f>'1. Calcul de Marge Brute'!K12</f>
        <v/>
      </c>
      <c r="C8" s="45" t="n"/>
      <c r="D8" s="54">
        <f>C8*$B8</f>
        <v/>
      </c>
      <c r="E8" s="45" t="n"/>
      <c r="F8" s="54">
        <f>E8*$B8</f>
        <v/>
      </c>
      <c r="G8" s="45" t="n"/>
      <c r="H8" s="54">
        <f>G8*$B8</f>
        <v/>
      </c>
      <c r="I8" s="45" t="n"/>
      <c r="J8" s="54">
        <f>I8*$B8</f>
        <v/>
      </c>
      <c r="K8" s="45" t="n"/>
      <c r="L8" s="54">
        <f>K8*$B8</f>
        <v/>
      </c>
      <c r="M8" s="45" t="n"/>
      <c r="N8" s="54">
        <f>M8*$B8</f>
        <v/>
      </c>
      <c r="O8" s="45" t="n"/>
      <c r="P8" s="54">
        <f>O8*$B8</f>
        <v/>
      </c>
      <c r="Q8" s="45" t="n"/>
      <c r="R8" s="54">
        <f>Q8*$B8</f>
        <v/>
      </c>
      <c r="S8" s="45" t="n"/>
      <c r="T8" s="54">
        <f>S8*$B8</f>
        <v/>
      </c>
      <c r="U8" s="45" t="n"/>
      <c r="V8" s="54">
        <f>U8*$B8</f>
        <v/>
      </c>
      <c r="W8" s="45" t="n"/>
      <c r="X8" s="54">
        <f>W8*$B8</f>
        <v/>
      </c>
      <c r="Y8" s="45" t="n"/>
      <c r="Z8" s="54">
        <f>Y8*$B8</f>
        <v/>
      </c>
      <c r="AA8" s="45" t="n"/>
      <c r="AB8" s="54">
        <f>AA8*$B8</f>
        <v/>
      </c>
      <c r="AC8" s="45" t="n"/>
      <c r="AD8" s="54">
        <f>AC8*$B8</f>
        <v/>
      </c>
      <c r="AE8" s="45" t="n"/>
      <c r="AF8" s="54">
        <f>AE8*$B8</f>
        <v/>
      </c>
      <c r="AG8" s="45" t="n"/>
      <c r="AH8" s="54">
        <f>AG8*$B8</f>
        <v/>
      </c>
      <c r="AI8" s="45" t="n"/>
      <c r="AJ8" s="54">
        <f>AI8*$B8</f>
        <v/>
      </c>
      <c r="AK8" s="45" t="n"/>
      <c r="AL8" s="54">
        <f>AK8*$B8</f>
        <v/>
      </c>
    </row>
    <row r="9">
      <c r="A9" s="37">
        <f>'1. Calcul de Marge Brute'!A13</f>
        <v/>
      </c>
      <c r="B9" s="40">
        <f>'1. Calcul de Marge Brute'!K13</f>
        <v/>
      </c>
      <c r="C9" s="45" t="n"/>
      <c r="D9" s="54">
        <f>C9*$B9</f>
        <v/>
      </c>
      <c r="E9" s="45" t="n"/>
      <c r="F9" s="54">
        <f>E9*$B9</f>
        <v/>
      </c>
      <c r="G9" s="45" t="n"/>
      <c r="H9" s="54">
        <f>G9*$B9</f>
        <v/>
      </c>
      <c r="I9" s="45" t="n"/>
      <c r="J9" s="54">
        <f>I9*$B9</f>
        <v/>
      </c>
      <c r="K9" s="45" t="n"/>
      <c r="L9" s="54">
        <f>K9*$B9</f>
        <v/>
      </c>
      <c r="M9" s="45" t="n"/>
      <c r="N9" s="54">
        <f>M9*$B9</f>
        <v/>
      </c>
      <c r="O9" s="45" t="n"/>
      <c r="P9" s="54">
        <f>O9*$B9</f>
        <v/>
      </c>
      <c r="Q9" s="45" t="n"/>
      <c r="R9" s="54">
        <f>Q9*$B9</f>
        <v/>
      </c>
      <c r="S9" s="45" t="n"/>
      <c r="T9" s="54">
        <f>S9*$B9</f>
        <v/>
      </c>
      <c r="U9" s="45" t="n"/>
      <c r="V9" s="54">
        <f>U9*$B9</f>
        <v/>
      </c>
      <c r="W9" s="45" t="n"/>
      <c r="X9" s="54">
        <f>W9*$B9</f>
        <v/>
      </c>
      <c r="Y9" s="45" t="n"/>
      <c r="Z9" s="54">
        <f>Y9*$B9</f>
        <v/>
      </c>
      <c r="AA9" s="45" t="n"/>
      <c r="AB9" s="54">
        <f>AA9*$B9</f>
        <v/>
      </c>
      <c r="AC9" s="45" t="n"/>
      <c r="AD9" s="54">
        <f>AC9*$B9</f>
        <v/>
      </c>
      <c r="AE9" s="45" t="n"/>
      <c r="AF9" s="54">
        <f>AE9*$B9</f>
        <v/>
      </c>
      <c r="AG9" s="45" t="n"/>
      <c r="AH9" s="54">
        <f>AG9*$B9</f>
        <v/>
      </c>
      <c r="AI9" s="45" t="n"/>
      <c r="AJ9" s="54">
        <f>AI9*$B9</f>
        <v/>
      </c>
      <c r="AK9" s="45" t="n"/>
      <c r="AL9" s="54">
        <f>AK9*$B9</f>
        <v/>
      </c>
    </row>
    <row r="10">
      <c r="A10" s="37">
        <f>'1. Calcul de Marge Brute'!A14</f>
        <v/>
      </c>
      <c r="B10" s="40">
        <f>'1. Calcul de Marge Brute'!K14</f>
        <v/>
      </c>
      <c r="C10" s="45" t="n"/>
      <c r="D10" s="54">
        <f>C10*$B10</f>
        <v/>
      </c>
      <c r="E10" s="45" t="n"/>
      <c r="F10" s="54">
        <f>E10*$B10</f>
        <v/>
      </c>
      <c r="G10" s="45" t="n"/>
      <c r="H10" s="54">
        <f>G10*$B10</f>
        <v/>
      </c>
      <c r="I10" s="45" t="n"/>
      <c r="J10" s="54">
        <f>I10*$B10</f>
        <v/>
      </c>
      <c r="K10" s="45" t="n"/>
      <c r="L10" s="54">
        <f>K10*$B10</f>
        <v/>
      </c>
      <c r="M10" s="45" t="n"/>
      <c r="N10" s="54">
        <f>M10*$B10</f>
        <v/>
      </c>
      <c r="O10" s="45" t="n"/>
      <c r="P10" s="54">
        <f>O10*$B10</f>
        <v/>
      </c>
      <c r="Q10" s="45" t="n"/>
      <c r="R10" s="54">
        <f>Q10*$B10</f>
        <v/>
      </c>
      <c r="S10" s="45" t="n"/>
      <c r="T10" s="54">
        <f>S10*$B10</f>
        <v/>
      </c>
      <c r="U10" s="45" t="n"/>
      <c r="V10" s="54">
        <f>U10*$B10</f>
        <v/>
      </c>
      <c r="W10" s="45" t="n"/>
      <c r="X10" s="54">
        <f>W10*$B10</f>
        <v/>
      </c>
      <c r="Y10" s="45" t="n"/>
      <c r="Z10" s="54">
        <f>Y10*$B10</f>
        <v/>
      </c>
      <c r="AA10" s="45" t="n"/>
      <c r="AB10" s="54">
        <f>AA10*$B10</f>
        <v/>
      </c>
      <c r="AC10" s="45" t="n"/>
      <c r="AD10" s="54">
        <f>AC10*$B10</f>
        <v/>
      </c>
      <c r="AE10" s="45" t="n"/>
      <c r="AF10" s="54">
        <f>AE10*$B10</f>
        <v/>
      </c>
      <c r="AG10" s="45" t="n"/>
      <c r="AH10" s="54">
        <f>AG10*$B10</f>
        <v/>
      </c>
      <c r="AI10" s="45" t="n"/>
      <c r="AJ10" s="54">
        <f>AI10*$B10</f>
        <v/>
      </c>
      <c r="AK10" s="45" t="n"/>
      <c r="AL10" s="54">
        <f>AK10*$B10</f>
        <v/>
      </c>
    </row>
    <row r="11">
      <c r="A11" s="37">
        <f>'1. Calcul de Marge Brute'!A15</f>
        <v/>
      </c>
      <c r="B11" s="40">
        <f>'1. Calcul de Marge Brute'!K15</f>
        <v/>
      </c>
      <c r="C11" s="45" t="n"/>
      <c r="D11" s="54">
        <f>C11*$B11</f>
        <v/>
      </c>
      <c r="E11" s="45" t="n"/>
      <c r="F11" s="54">
        <f>E11*$B11</f>
        <v/>
      </c>
      <c r="G11" s="45" t="n"/>
      <c r="H11" s="54">
        <f>G11*$B11</f>
        <v/>
      </c>
      <c r="I11" s="45" t="n"/>
      <c r="J11" s="54">
        <f>I11*$B11</f>
        <v/>
      </c>
      <c r="K11" s="45" t="n"/>
      <c r="L11" s="54">
        <f>K11*$B11</f>
        <v/>
      </c>
      <c r="M11" s="45" t="n"/>
      <c r="N11" s="54">
        <f>M11*$B11</f>
        <v/>
      </c>
      <c r="O11" s="45" t="n"/>
      <c r="P11" s="54">
        <f>O11*$B11</f>
        <v/>
      </c>
      <c r="Q11" s="45" t="n"/>
      <c r="R11" s="54">
        <f>Q11*$B11</f>
        <v/>
      </c>
      <c r="S11" s="45" t="n"/>
      <c r="T11" s="54">
        <f>S11*$B11</f>
        <v/>
      </c>
      <c r="U11" s="45" t="n"/>
      <c r="V11" s="54">
        <f>U11*$B11</f>
        <v/>
      </c>
      <c r="W11" s="45" t="n"/>
      <c r="X11" s="54">
        <f>W11*$B11</f>
        <v/>
      </c>
      <c r="Y11" s="45" t="n"/>
      <c r="Z11" s="54">
        <f>Y11*$B11</f>
        <v/>
      </c>
      <c r="AA11" s="45" t="n"/>
      <c r="AB11" s="54">
        <f>AA11*$B11</f>
        <v/>
      </c>
      <c r="AC11" s="45" t="n"/>
      <c r="AD11" s="54">
        <f>AC11*$B11</f>
        <v/>
      </c>
      <c r="AE11" s="45" t="n"/>
      <c r="AF11" s="54">
        <f>AE11*$B11</f>
        <v/>
      </c>
      <c r="AG11" s="45" t="n"/>
      <c r="AH11" s="54">
        <f>AG11*$B11</f>
        <v/>
      </c>
      <c r="AI11" s="45" t="n"/>
      <c r="AJ11" s="54">
        <f>AI11*$B11</f>
        <v/>
      </c>
      <c r="AK11" s="45" t="n"/>
      <c r="AL11" s="54">
        <f>AK11*$B11</f>
        <v/>
      </c>
    </row>
    <row r="12">
      <c r="A12" s="37">
        <f>'1. Calcul de Marge Brute'!A16</f>
        <v/>
      </c>
      <c r="B12" s="40">
        <f>'1. Calcul de Marge Brute'!K16</f>
        <v/>
      </c>
      <c r="C12" s="45" t="n"/>
      <c r="D12" s="54">
        <f>C12*$B12</f>
        <v/>
      </c>
      <c r="E12" s="45" t="n"/>
      <c r="F12" s="54">
        <f>E12*$B12</f>
        <v/>
      </c>
      <c r="G12" s="45" t="n"/>
      <c r="H12" s="54">
        <f>G12*$B12</f>
        <v/>
      </c>
      <c r="I12" s="45" t="n"/>
      <c r="J12" s="54">
        <f>I12*$B12</f>
        <v/>
      </c>
      <c r="K12" s="45" t="n"/>
      <c r="L12" s="54">
        <f>K12*$B12</f>
        <v/>
      </c>
      <c r="M12" s="45" t="n"/>
      <c r="N12" s="54">
        <f>M12*$B12</f>
        <v/>
      </c>
      <c r="O12" s="45" t="n"/>
      <c r="P12" s="54">
        <f>O12*$B12</f>
        <v/>
      </c>
      <c r="Q12" s="45" t="n"/>
      <c r="R12" s="54">
        <f>Q12*$B12</f>
        <v/>
      </c>
      <c r="S12" s="45" t="n"/>
      <c r="T12" s="54">
        <f>S12*$B12</f>
        <v/>
      </c>
      <c r="U12" s="45" t="n"/>
      <c r="V12" s="54">
        <f>U12*$B12</f>
        <v/>
      </c>
      <c r="W12" s="45" t="n"/>
      <c r="X12" s="54">
        <f>W12*$B12</f>
        <v/>
      </c>
      <c r="Y12" s="45" t="n"/>
      <c r="Z12" s="54">
        <f>Y12*$B12</f>
        <v/>
      </c>
      <c r="AA12" s="45" t="n"/>
      <c r="AB12" s="54">
        <f>AA12*$B12</f>
        <v/>
      </c>
      <c r="AC12" s="45" t="n"/>
      <c r="AD12" s="54">
        <f>AC12*$B12</f>
        <v/>
      </c>
      <c r="AE12" s="45" t="n"/>
      <c r="AF12" s="54">
        <f>AE12*$B12</f>
        <v/>
      </c>
      <c r="AG12" s="45" t="n"/>
      <c r="AH12" s="54">
        <f>AG12*$B12</f>
        <v/>
      </c>
      <c r="AI12" s="45" t="n"/>
      <c r="AJ12" s="54">
        <f>AI12*$B12</f>
        <v/>
      </c>
      <c r="AK12" s="45" t="n"/>
      <c r="AL12" s="54">
        <f>AK12*$B12</f>
        <v/>
      </c>
    </row>
    <row r="13">
      <c r="A13" s="37">
        <f>'1. Calcul de Marge Brute'!A17</f>
        <v/>
      </c>
      <c r="B13" s="40">
        <f>'1. Calcul de Marge Brute'!K17</f>
        <v/>
      </c>
      <c r="C13" s="45" t="n"/>
      <c r="D13" s="54">
        <f>C13*$B13</f>
        <v/>
      </c>
      <c r="E13" s="45" t="n"/>
      <c r="F13" s="54">
        <f>E13*$B13</f>
        <v/>
      </c>
      <c r="G13" s="45" t="n"/>
      <c r="H13" s="54">
        <f>G13*$B13</f>
        <v/>
      </c>
      <c r="I13" s="45" t="n"/>
      <c r="J13" s="54">
        <f>I13*$B13</f>
        <v/>
      </c>
      <c r="K13" s="45" t="n"/>
      <c r="L13" s="54">
        <f>K13*$B13</f>
        <v/>
      </c>
      <c r="M13" s="45" t="n"/>
      <c r="N13" s="54">
        <f>M13*$B13</f>
        <v/>
      </c>
      <c r="O13" s="45" t="n"/>
      <c r="P13" s="54">
        <f>O13*$B13</f>
        <v/>
      </c>
      <c r="Q13" s="45" t="n"/>
      <c r="R13" s="54">
        <f>Q13*$B13</f>
        <v/>
      </c>
      <c r="S13" s="45" t="n"/>
      <c r="T13" s="54">
        <f>S13*$B13</f>
        <v/>
      </c>
      <c r="U13" s="45" t="n"/>
      <c r="V13" s="54">
        <f>U13*$B13</f>
        <v/>
      </c>
      <c r="W13" s="45" t="n"/>
      <c r="X13" s="54">
        <f>W13*$B13</f>
        <v/>
      </c>
      <c r="Y13" s="45" t="n"/>
      <c r="Z13" s="54">
        <f>Y13*$B13</f>
        <v/>
      </c>
      <c r="AA13" s="45" t="n"/>
      <c r="AB13" s="54">
        <f>AA13*$B13</f>
        <v/>
      </c>
      <c r="AC13" s="45" t="n"/>
      <c r="AD13" s="54">
        <f>AC13*$B13</f>
        <v/>
      </c>
      <c r="AE13" s="45" t="n"/>
      <c r="AF13" s="54">
        <f>AE13*$B13</f>
        <v/>
      </c>
      <c r="AG13" s="45" t="n"/>
      <c r="AH13" s="54">
        <f>AG13*$B13</f>
        <v/>
      </c>
      <c r="AI13" s="45" t="n"/>
      <c r="AJ13" s="54">
        <f>AI13*$B13</f>
        <v/>
      </c>
      <c r="AK13" s="45" t="n"/>
      <c r="AL13" s="54">
        <f>AK13*$B13</f>
        <v/>
      </c>
    </row>
    <row r="14">
      <c r="A14" s="37">
        <f>'1. Calcul de Marge Brute'!A18</f>
        <v/>
      </c>
      <c r="B14" s="40">
        <f>'1. Calcul de Marge Brute'!K18</f>
        <v/>
      </c>
      <c r="C14" s="45" t="n"/>
      <c r="D14" s="54">
        <f>C14*$B14</f>
        <v/>
      </c>
      <c r="E14" s="45" t="n"/>
      <c r="F14" s="54">
        <f>E14*$B14</f>
        <v/>
      </c>
      <c r="G14" s="45" t="n"/>
      <c r="H14" s="54">
        <f>G14*$B14</f>
        <v/>
      </c>
      <c r="I14" s="45" t="n"/>
      <c r="J14" s="54">
        <f>I14*$B14</f>
        <v/>
      </c>
      <c r="K14" s="45" t="n"/>
      <c r="L14" s="54">
        <f>K14*$B14</f>
        <v/>
      </c>
      <c r="M14" s="45" t="n"/>
      <c r="N14" s="54">
        <f>M14*$B14</f>
        <v/>
      </c>
      <c r="O14" s="45" t="n"/>
      <c r="P14" s="54">
        <f>O14*$B14</f>
        <v/>
      </c>
      <c r="Q14" s="45" t="n"/>
      <c r="R14" s="54">
        <f>Q14*$B14</f>
        <v/>
      </c>
      <c r="S14" s="45" t="n"/>
      <c r="T14" s="54">
        <f>S14*$B14</f>
        <v/>
      </c>
      <c r="U14" s="45" t="n"/>
      <c r="V14" s="54">
        <f>U14*$B14</f>
        <v/>
      </c>
      <c r="W14" s="45" t="n"/>
      <c r="X14" s="54">
        <f>W14*$B14</f>
        <v/>
      </c>
      <c r="Y14" s="45" t="n"/>
      <c r="Z14" s="54">
        <f>Y14*$B14</f>
        <v/>
      </c>
      <c r="AA14" s="45" t="n"/>
      <c r="AB14" s="54">
        <f>AA14*$B14</f>
        <v/>
      </c>
      <c r="AC14" s="45" t="n"/>
      <c r="AD14" s="54">
        <f>AC14*$B14</f>
        <v/>
      </c>
      <c r="AE14" s="45" t="n"/>
      <c r="AF14" s="54">
        <f>AE14*$B14</f>
        <v/>
      </c>
      <c r="AG14" s="45" t="n"/>
      <c r="AH14" s="54">
        <f>AG14*$B14</f>
        <v/>
      </c>
      <c r="AI14" s="45" t="n"/>
      <c r="AJ14" s="54">
        <f>AI14*$B14</f>
        <v/>
      </c>
      <c r="AK14" s="45" t="n"/>
      <c r="AL14" s="54">
        <f>AK14*$B14</f>
        <v/>
      </c>
    </row>
    <row r="15">
      <c r="A15" s="37">
        <f>'1. Calcul de Marge Brute'!A19</f>
        <v/>
      </c>
      <c r="B15" s="40">
        <f>'1. Calcul de Marge Brute'!K19</f>
        <v/>
      </c>
      <c r="C15" s="45" t="n"/>
      <c r="D15" s="54">
        <f>C15*$B15</f>
        <v/>
      </c>
      <c r="E15" s="45" t="n"/>
      <c r="F15" s="54">
        <f>E15*$B15</f>
        <v/>
      </c>
      <c r="G15" s="45" t="n"/>
      <c r="H15" s="54">
        <f>G15*$B15</f>
        <v/>
      </c>
      <c r="I15" s="45" t="n"/>
      <c r="J15" s="54">
        <f>I15*$B15</f>
        <v/>
      </c>
      <c r="K15" s="45" t="n"/>
      <c r="L15" s="54">
        <f>K15*$B15</f>
        <v/>
      </c>
      <c r="M15" s="45" t="n"/>
      <c r="N15" s="54">
        <f>M15*$B15</f>
        <v/>
      </c>
      <c r="O15" s="45" t="n"/>
      <c r="P15" s="54">
        <f>O15*$B15</f>
        <v/>
      </c>
      <c r="Q15" s="45" t="n"/>
      <c r="R15" s="54">
        <f>Q15*$B15</f>
        <v/>
      </c>
      <c r="S15" s="45" t="n"/>
      <c r="T15" s="54">
        <f>S15*$B15</f>
        <v/>
      </c>
      <c r="U15" s="45" t="n"/>
      <c r="V15" s="54">
        <f>U15*$B15</f>
        <v/>
      </c>
      <c r="W15" s="45" t="n"/>
      <c r="X15" s="54">
        <f>W15*$B15</f>
        <v/>
      </c>
      <c r="Y15" s="45" t="n"/>
      <c r="Z15" s="54">
        <f>Y15*$B15</f>
        <v/>
      </c>
      <c r="AA15" s="45" t="n"/>
      <c r="AB15" s="54">
        <f>AA15*$B15</f>
        <v/>
      </c>
      <c r="AC15" s="45" t="n"/>
      <c r="AD15" s="54">
        <f>AC15*$B15</f>
        <v/>
      </c>
      <c r="AE15" s="45" t="n"/>
      <c r="AF15" s="54">
        <f>AE15*$B15</f>
        <v/>
      </c>
      <c r="AG15" s="45" t="n"/>
      <c r="AH15" s="54">
        <f>AG15*$B15</f>
        <v/>
      </c>
      <c r="AI15" s="45" t="n"/>
      <c r="AJ15" s="54">
        <f>AI15*$B15</f>
        <v/>
      </c>
      <c r="AK15" s="45" t="n"/>
      <c r="AL15" s="54">
        <f>AK15*$B15</f>
        <v/>
      </c>
    </row>
    <row r="16">
      <c r="A16" s="37">
        <f>'1. Calcul de Marge Brute'!A20</f>
        <v/>
      </c>
      <c r="B16" s="40">
        <f>'1. Calcul de Marge Brute'!K20</f>
        <v/>
      </c>
      <c r="C16" s="45" t="n"/>
      <c r="D16" s="54">
        <f>C16*$B16</f>
        <v/>
      </c>
      <c r="E16" s="45" t="n"/>
      <c r="F16" s="54">
        <f>E16*$B16</f>
        <v/>
      </c>
      <c r="G16" s="45" t="n"/>
      <c r="H16" s="54">
        <f>G16*$B16</f>
        <v/>
      </c>
      <c r="I16" s="45" t="n"/>
      <c r="J16" s="54">
        <f>I16*$B16</f>
        <v/>
      </c>
      <c r="K16" s="45" t="n"/>
      <c r="L16" s="54">
        <f>K16*$B16</f>
        <v/>
      </c>
      <c r="M16" s="45" t="n"/>
      <c r="N16" s="54">
        <f>M16*$B16</f>
        <v/>
      </c>
      <c r="O16" s="45" t="n"/>
      <c r="P16" s="54">
        <f>O16*$B16</f>
        <v/>
      </c>
      <c r="Q16" s="45" t="n"/>
      <c r="R16" s="54">
        <f>Q16*$B16</f>
        <v/>
      </c>
      <c r="S16" s="45" t="n"/>
      <c r="T16" s="54">
        <f>S16*$B16</f>
        <v/>
      </c>
      <c r="U16" s="45" t="n"/>
      <c r="V16" s="54">
        <f>U16*$B16</f>
        <v/>
      </c>
      <c r="W16" s="45" t="n"/>
      <c r="X16" s="54">
        <f>W16*$B16</f>
        <v/>
      </c>
      <c r="Y16" s="45" t="n"/>
      <c r="Z16" s="54">
        <f>Y16*$B16</f>
        <v/>
      </c>
      <c r="AA16" s="45" t="n"/>
      <c r="AB16" s="54">
        <f>AA16*$B16</f>
        <v/>
      </c>
      <c r="AC16" s="45" t="n"/>
      <c r="AD16" s="54">
        <f>AC16*$B16</f>
        <v/>
      </c>
      <c r="AE16" s="45" t="n"/>
      <c r="AF16" s="54">
        <f>AE16*$B16</f>
        <v/>
      </c>
      <c r="AG16" s="45" t="n"/>
      <c r="AH16" s="54">
        <f>AG16*$B16</f>
        <v/>
      </c>
      <c r="AI16" s="45" t="n"/>
      <c r="AJ16" s="54">
        <f>AI16*$B16</f>
        <v/>
      </c>
      <c r="AK16" s="45" t="n"/>
      <c r="AL16" s="54">
        <f>AK16*$B16</f>
        <v/>
      </c>
    </row>
    <row r="17">
      <c r="A17" s="37">
        <f>'1. Calcul de Marge Brute'!A21</f>
        <v/>
      </c>
      <c r="B17" s="40">
        <f>'1. Calcul de Marge Brute'!K21</f>
        <v/>
      </c>
      <c r="C17" s="45" t="n"/>
      <c r="D17" s="54">
        <f>C17*$B17</f>
        <v/>
      </c>
      <c r="E17" s="45" t="n"/>
      <c r="F17" s="54">
        <f>E17*$B17</f>
        <v/>
      </c>
      <c r="G17" s="45" t="n"/>
      <c r="H17" s="54">
        <f>G17*$B17</f>
        <v/>
      </c>
      <c r="I17" s="45" t="n"/>
      <c r="J17" s="54">
        <f>I17*$B17</f>
        <v/>
      </c>
      <c r="K17" s="45" t="n"/>
      <c r="L17" s="54">
        <f>K17*$B17</f>
        <v/>
      </c>
      <c r="M17" s="45" t="n"/>
      <c r="N17" s="54">
        <f>M17*$B17</f>
        <v/>
      </c>
      <c r="O17" s="45" t="n"/>
      <c r="P17" s="54">
        <f>O17*$B17</f>
        <v/>
      </c>
      <c r="Q17" s="45" t="n"/>
      <c r="R17" s="54">
        <f>Q17*$B17</f>
        <v/>
      </c>
      <c r="S17" s="45" t="n"/>
      <c r="T17" s="54">
        <f>S17*$B17</f>
        <v/>
      </c>
      <c r="U17" s="45" t="n"/>
      <c r="V17" s="54">
        <f>U17*$B17</f>
        <v/>
      </c>
      <c r="W17" s="45" t="n"/>
      <c r="X17" s="54">
        <f>W17*$B17</f>
        <v/>
      </c>
      <c r="Y17" s="45" t="n"/>
      <c r="Z17" s="54">
        <f>Y17*$B17</f>
        <v/>
      </c>
      <c r="AA17" s="45" t="n"/>
      <c r="AB17" s="54">
        <f>AA17*$B17</f>
        <v/>
      </c>
      <c r="AC17" s="45" t="n"/>
      <c r="AD17" s="54">
        <f>AC17*$B17</f>
        <v/>
      </c>
      <c r="AE17" s="45" t="n"/>
      <c r="AF17" s="54">
        <f>AE17*$B17</f>
        <v/>
      </c>
      <c r="AG17" s="45" t="n"/>
      <c r="AH17" s="54">
        <f>AG17*$B17</f>
        <v/>
      </c>
      <c r="AI17" s="45" t="n"/>
      <c r="AJ17" s="54">
        <f>AI17*$B17</f>
        <v/>
      </c>
      <c r="AK17" s="45" t="n"/>
      <c r="AL17" s="54">
        <f>AK17*$B17</f>
        <v/>
      </c>
    </row>
    <row r="18">
      <c r="A18" s="37">
        <f>'1. Calcul de Marge Brute'!A22</f>
        <v/>
      </c>
      <c r="B18" s="40">
        <f>'1. Calcul de Marge Brute'!K22</f>
        <v/>
      </c>
      <c r="C18" s="45" t="n"/>
      <c r="D18" s="54">
        <f>C18*$B18</f>
        <v/>
      </c>
      <c r="E18" s="45" t="n"/>
      <c r="F18" s="54">
        <f>E18*$B18</f>
        <v/>
      </c>
      <c r="G18" s="45" t="n"/>
      <c r="H18" s="54">
        <f>G18*$B18</f>
        <v/>
      </c>
      <c r="I18" s="45" t="n"/>
      <c r="J18" s="54">
        <f>I18*$B18</f>
        <v/>
      </c>
      <c r="K18" s="45" t="n"/>
      <c r="L18" s="54">
        <f>K18*$B18</f>
        <v/>
      </c>
      <c r="M18" s="45" t="n"/>
      <c r="N18" s="54">
        <f>M18*$B18</f>
        <v/>
      </c>
      <c r="O18" s="45" t="n"/>
      <c r="P18" s="54">
        <f>O18*$B18</f>
        <v/>
      </c>
      <c r="Q18" s="45" t="n"/>
      <c r="R18" s="54">
        <f>Q18*$B18</f>
        <v/>
      </c>
      <c r="S18" s="45" t="n"/>
      <c r="T18" s="54">
        <f>S18*$B18</f>
        <v/>
      </c>
      <c r="U18" s="45" t="n"/>
      <c r="V18" s="54">
        <f>U18*$B18</f>
        <v/>
      </c>
      <c r="W18" s="45" t="n"/>
      <c r="X18" s="54">
        <f>W18*$B18</f>
        <v/>
      </c>
      <c r="Y18" s="45" t="n"/>
      <c r="Z18" s="54">
        <f>Y18*$B18</f>
        <v/>
      </c>
      <c r="AA18" s="45" t="n"/>
      <c r="AB18" s="54">
        <f>AA18*$B18</f>
        <v/>
      </c>
      <c r="AC18" s="45" t="n"/>
      <c r="AD18" s="54">
        <f>AC18*$B18</f>
        <v/>
      </c>
      <c r="AE18" s="45" t="n"/>
      <c r="AF18" s="54">
        <f>AE18*$B18</f>
        <v/>
      </c>
      <c r="AG18" s="45" t="n"/>
      <c r="AH18" s="54">
        <f>AG18*$B18</f>
        <v/>
      </c>
      <c r="AI18" s="45" t="n"/>
      <c r="AJ18" s="54">
        <f>AI18*$B18</f>
        <v/>
      </c>
      <c r="AK18" s="45" t="n"/>
      <c r="AL18" s="54">
        <f>AK18*$B18</f>
        <v/>
      </c>
    </row>
    <row r="19" ht="13.8" customHeight="1" thickBot="1">
      <c r="A19" s="49" t="n"/>
      <c r="B19" s="50" t="n"/>
      <c r="C19" s="51" t="n"/>
      <c r="D19" s="58" t="n"/>
      <c r="E19" s="51" t="n"/>
      <c r="F19" s="58" t="n"/>
      <c r="G19" s="51" t="n"/>
      <c r="H19" s="58" t="n"/>
      <c r="I19" s="51" t="n"/>
      <c r="J19" s="58" t="n"/>
      <c r="K19" s="51" t="n"/>
      <c r="L19" s="58" t="n"/>
      <c r="M19" s="51" t="n"/>
      <c r="N19" s="58" t="n"/>
      <c r="O19" s="51" t="n"/>
      <c r="P19" s="58" t="n"/>
      <c r="Q19" s="51" t="n"/>
      <c r="R19" s="58" t="n"/>
      <c r="S19" s="51" t="n"/>
      <c r="T19" s="58" t="n"/>
      <c r="U19" s="51" t="n"/>
      <c r="V19" s="58" t="n"/>
      <c r="W19" s="51" t="n"/>
      <c r="X19" s="58" t="n"/>
      <c r="Y19" s="51" t="n"/>
      <c r="Z19" s="58" t="n"/>
      <c r="AA19" s="51" t="n"/>
      <c r="AB19" s="58" t="n"/>
      <c r="AC19" s="51" t="n"/>
      <c r="AD19" s="58" t="n"/>
      <c r="AE19" s="51" t="n"/>
      <c r="AF19" s="58" t="n"/>
      <c r="AG19" s="51" t="n"/>
      <c r="AH19" s="58" t="n"/>
      <c r="AI19" s="51" t="n"/>
      <c r="AJ19" s="58" t="n"/>
      <c r="AK19" s="51" t="n"/>
      <c r="AL19" s="58" t="n"/>
    </row>
    <row r="20" ht="15" customHeight="1" thickBot="1">
      <c r="A20" s="28" t="inlineStr">
        <is>
          <t>TOTAUX</t>
        </is>
      </c>
      <c r="B20" s="29" t="n"/>
      <c r="C20" s="34" t="n"/>
      <c r="D20" s="55">
        <f>SUM(D6:D19)</f>
        <v/>
      </c>
      <c r="E20" s="35" t="n"/>
      <c r="F20" s="55">
        <f>SUM(F6:F19)</f>
        <v/>
      </c>
      <c r="G20" s="35" t="n"/>
      <c r="H20" s="55">
        <f>SUM(H6:H19)</f>
        <v/>
      </c>
      <c r="I20" s="35" t="n"/>
      <c r="J20" s="55">
        <f>SUM(J6:J19)</f>
        <v/>
      </c>
      <c r="K20" s="35" t="n"/>
      <c r="L20" s="55">
        <f>SUM(L6:L19)</f>
        <v/>
      </c>
      <c r="M20" s="35" t="n"/>
      <c r="N20" s="55">
        <f>SUM(N6:N19)</f>
        <v/>
      </c>
      <c r="O20" s="35" t="n"/>
      <c r="P20" s="55">
        <f>SUM(P6:P19)</f>
        <v/>
      </c>
      <c r="Q20" s="35" t="n"/>
      <c r="R20" s="55">
        <f>SUM(R6:R19)</f>
        <v/>
      </c>
      <c r="S20" s="35" t="n"/>
      <c r="T20" s="55">
        <f>SUM(T6:T19)</f>
        <v/>
      </c>
      <c r="U20" s="35" t="n"/>
      <c r="V20" s="55">
        <f>SUM(V6:V19)</f>
        <v/>
      </c>
      <c r="W20" s="35" t="n"/>
      <c r="X20" s="55">
        <f>SUM(X6:X19)</f>
        <v/>
      </c>
      <c r="Y20" s="35" t="n"/>
      <c r="Z20" s="55">
        <f>SUM(Z6:Z19)</f>
        <v/>
      </c>
      <c r="AA20" s="35" t="n"/>
      <c r="AB20" s="55">
        <f>SUM(AB6:AB19)</f>
        <v/>
      </c>
      <c r="AC20" s="35" t="n"/>
      <c r="AD20" s="55">
        <f>SUM(AD6:AD19)</f>
        <v/>
      </c>
      <c r="AE20" s="35" t="n"/>
      <c r="AF20" s="55">
        <f>SUM(AF6:AF19)</f>
        <v/>
      </c>
      <c r="AG20" s="35" t="n"/>
      <c r="AH20" s="55">
        <f>SUM(AH6:AH19)</f>
        <v/>
      </c>
      <c r="AI20" s="35" t="n"/>
      <c r="AJ20" s="55">
        <f>SUM(AJ6:AJ19)</f>
        <v/>
      </c>
      <c r="AK20" s="35" t="n"/>
      <c r="AL20" s="55">
        <f>SUM(AL6:AL19)</f>
        <v/>
      </c>
    </row>
    <row r="21" ht="15" customHeight="1" thickBot="1">
      <c r="A21" s="30" t="inlineStr">
        <is>
          <t>MARGE BRUTE CUMULEE</t>
        </is>
      </c>
      <c r="B21" s="29" t="n"/>
      <c r="C21" s="34" t="n"/>
      <c r="D21" s="35" t="n"/>
      <c r="E21" s="35" t="n"/>
      <c r="F21" s="56">
        <f>D20+F20</f>
        <v/>
      </c>
      <c r="G21" s="35" t="n"/>
      <c r="H21" s="56">
        <f>F21+H20</f>
        <v/>
      </c>
      <c r="I21" s="35" t="n"/>
      <c r="J21" s="56">
        <f>H21+J20</f>
        <v/>
      </c>
      <c r="K21" s="35" t="n"/>
      <c r="L21" s="56">
        <f>J21+L20</f>
        <v/>
      </c>
      <c r="M21" s="35" t="n"/>
      <c r="N21" s="56">
        <f>L21+N20</f>
        <v/>
      </c>
      <c r="O21" s="35" t="n"/>
      <c r="P21" s="56">
        <f>N21+P20</f>
        <v/>
      </c>
      <c r="Q21" s="35" t="n"/>
      <c r="R21" s="56">
        <f>P21+R20</f>
        <v/>
      </c>
      <c r="S21" s="35" t="n"/>
      <c r="T21" s="56">
        <f>R21+T20</f>
        <v/>
      </c>
      <c r="U21" s="35" t="n"/>
      <c r="V21" s="56">
        <f>T21+V20</f>
        <v/>
      </c>
      <c r="W21" s="35" t="n"/>
      <c r="X21" s="56">
        <f>V21+X20</f>
        <v/>
      </c>
      <c r="Y21" s="35" t="n"/>
      <c r="Z21" s="56">
        <f>X21+Z20</f>
        <v/>
      </c>
      <c r="AA21" s="35" t="n"/>
      <c r="AB21" s="56">
        <f>Z21+AB20</f>
        <v/>
      </c>
      <c r="AC21" s="35" t="n"/>
      <c r="AD21" s="56">
        <f>AB21+AD20</f>
        <v/>
      </c>
      <c r="AE21" s="35" t="n"/>
      <c r="AF21" s="56">
        <f>AD21+AF20</f>
        <v/>
      </c>
      <c r="AG21" s="35" t="n"/>
      <c r="AH21" s="56">
        <f>AF21+AH20</f>
        <v/>
      </c>
      <c r="AI21" s="35" t="n"/>
      <c r="AJ21" s="56">
        <f>AH21+AJ20</f>
        <v/>
      </c>
      <c r="AK21" s="35" t="n"/>
      <c r="AL21" s="56">
        <f>AJ21+AL20</f>
        <v/>
      </c>
    </row>
    <row r="23">
      <c r="A23" s="47" t="inlineStr">
        <is>
          <t xml:space="preserve">Vous reporterez ici les chiffres réellement atteint pendant votre test. </t>
        </is>
      </c>
    </row>
  </sheetData>
  <mergeCells count="36">
    <mergeCell ref="W4:X4"/>
    <mergeCell ref="AG4:AH4"/>
    <mergeCell ref="O3:P3"/>
    <mergeCell ref="Y4:Z4"/>
    <mergeCell ref="Q3:R3"/>
    <mergeCell ref="Y3:Z3"/>
    <mergeCell ref="K3:L3"/>
    <mergeCell ref="S3:T3"/>
    <mergeCell ref="AK4:AL4"/>
    <mergeCell ref="C4:D4"/>
    <mergeCell ref="AC3:AD3"/>
    <mergeCell ref="E4:F4"/>
    <mergeCell ref="AE3:AF3"/>
    <mergeCell ref="AK3:AL3"/>
    <mergeCell ref="W3:X3"/>
    <mergeCell ref="O4:P4"/>
    <mergeCell ref="AA4:AB4"/>
    <mergeCell ref="G3:H3"/>
    <mergeCell ref="Q4:R4"/>
    <mergeCell ref="I3:J3"/>
    <mergeCell ref="AC4:AD4"/>
    <mergeCell ref="AI4:AJ4"/>
    <mergeCell ref="U3:V3"/>
    <mergeCell ref="M3:N3"/>
    <mergeCell ref="G4:H4"/>
    <mergeCell ref="AA3:AB3"/>
    <mergeCell ref="AG3:AH3"/>
    <mergeCell ref="I4:J4"/>
    <mergeCell ref="AI3:AJ3"/>
    <mergeCell ref="K4:L4"/>
    <mergeCell ref="C3:D3"/>
    <mergeCell ref="M4:N4"/>
    <mergeCell ref="S4:T4"/>
    <mergeCell ref="E3:F3"/>
    <mergeCell ref="AE4:AF4"/>
    <mergeCell ref="U4:V4"/>
  </mergeCells>
  <pageMargins left="0.25" right="0.25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G17"/>
  <sheetViews>
    <sheetView zoomScale="86" zoomScaleNormal="86" zoomScalePageLayoutView="80" workbookViewId="0">
      <selection activeCell="AL12" sqref="AL12"/>
    </sheetView>
  </sheetViews>
  <sheetFormatPr baseColWidth="10" defaultColWidth="9.109375" defaultRowHeight="13.2"/>
  <cols>
    <col width="3.6640625" customWidth="1" min="1" max="1"/>
    <col width="3" customWidth="1" min="2" max="2"/>
    <col width="14.6640625" customWidth="1" min="3" max="3"/>
    <col width="3.6640625" customWidth="1" min="4" max="32"/>
  </cols>
  <sheetData>
    <row r="1">
      <c r="A1" s="1" t="inlineStr">
        <is>
          <t>Nom :</t>
        </is>
      </c>
      <c r="C1" t="inlineStr">
        <is>
          <t>Oliver Van Droogenbroeck</t>
        </is>
      </c>
    </row>
    <row r="2" ht="22.8" customHeight="1">
      <c r="B2" s="4" t="inlineStr">
        <is>
          <t>Ma marge brute mensuelle</t>
        </is>
      </c>
      <c r="N2" s="3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C2" s="12" t="n"/>
      <c r="AD2" s="12" t="n"/>
      <c r="AE2" s="12" t="n"/>
      <c r="AF2" s="12" t="n"/>
    </row>
    <row r="3">
      <c r="D3" s="20" t="n"/>
      <c r="E3" s="20" t="n"/>
    </row>
    <row r="4" ht="15.6" customHeight="1">
      <c r="B4" s="82" t="n"/>
      <c r="H4" s="82" t="inlineStr">
        <is>
          <t>Test grandeur nature</t>
        </is>
      </c>
      <c r="Z4" s="82" t="inlineStr">
        <is>
          <t>Autonomie</t>
        </is>
      </c>
    </row>
    <row r="5" ht="15.6" customHeight="1">
      <c r="A5" s="82" t="n"/>
      <c r="G5" s="82" t="n"/>
      <c r="Y5" s="82" t="n"/>
    </row>
    <row r="6" ht="15.6" customHeight="1">
      <c r="J6" s="82" t="n"/>
      <c r="K6" s="82" t="n"/>
      <c r="Q6" s="19" t="n"/>
    </row>
    <row r="7" ht="33.75" customHeight="1">
      <c r="B7" s="1" t="inlineStr">
        <is>
          <t>1/</t>
        </is>
      </c>
      <c r="C7" s="1" t="inlineStr">
        <is>
          <t>Mes objectifs mensuels</t>
        </is>
      </c>
      <c r="D7" s="1" t="n"/>
      <c r="E7" s="1" t="n"/>
      <c r="H7" s="94">
        <f>'2. Détail prévisionnel ventes  '!D20</f>
        <v/>
      </c>
      <c r="I7" s="94">
        <f>'2. Détail prévisionnel ventes  '!F20</f>
        <v/>
      </c>
      <c r="J7" s="94">
        <f>'2. Détail prévisionnel ventes  '!H20</f>
        <v/>
      </c>
      <c r="K7" s="94">
        <f>'2. Détail prévisionnel ventes  '!J20</f>
        <v/>
      </c>
      <c r="L7" s="94">
        <f>'2. Détail prévisionnel ventes  '!L20</f>
        <v/>
      </c>
      <c r="M7" s="94">
        <f>'2. Détail prévisionnel ventes  '!N20</f>
        <v/>
      </c>
      <c r="N7" s="94">
        <f>'2. Détail prévisionnel ventes  '!P20</f>
        <v/>
      </c>
      <c r="O7" s="94">
        <f>'2. Détail prévisionnel ventes  '!R20</f>
        <v/>
      </c>
      <c r="P7" s="94">
        <f>'2. Détail prévisionnel ventes  '!T20</f>
        <v/>
      </c>
      <c r="Q7" s="94">
        <f>'2. Détail prévisionnel ventes  '!V20</f>
        <v/>
      </c>
      <c r="R7" s="94">
        <f>'2. Détail prévisionnel ventes  '!X20</f>
        <v/>
      </c>
      <c r="S7" s="94">
        <f>'2. Détail prévisionnel ventes  '!Z20</f>
        <v/>
      </c>
      <c r="T7" s="94">
        <f>'2. Détail prévisionnel ventes  '!AB20</f>
        <v/>
      </c>
      <c r="U7" s="94">
        <f>'2. Détail prévisionnel ventes  '!AD20</f>
        <v/>
      </c>
      <c r="V7" s="94">
        <f>'2. Détail prévisionnel ventes  '!AF20</f>
        <v/>
      </c>
      <c r="W7" s="94">
        <f>'2. Détail prévisionnel ventes  '!AH20</f>
        <v/>
      </c>
      <c r="X7" s="94">
        <f>'2. Détail prévisionnel ventes  '!AJ20</f>
        <v/>
      </c>
      <c r="Y7" s="94">
        <f>'2. Détail prévisionnel ventes  '!AL20</f>
        <v/>
      </c>
      <c r="AG7" s="95" t="n"/>
    </row>
    <row r="8" ht="33.75" customHeight="1">
      <c r="B8" s="1" t="inlineStr">
        <is>
          <t>2/</t>
        </is>
      </c>
      <c r="C8" s="1" t="inlineStr">
        <is>
          <t>Le parcours "moyen" mensuel</t>
        </is>
      </c>
      <c r="D8" s="1" t="n"/>
      <c r="E8" s="1" t="n"/>
      <c r="H8" s="96" t="n">
        <v>0</v>
      </c>
      <c r="I8" s="96" t="n">
        <v>0</v>
      </c>
      <c r="J8" s="96" t="n">
        <v>600</v>
      </c>
      <c r="K8" s="96" t="n">
        <v>900</v>
      </c>
      <c r="L8" s="96" t="n">
        <v>1000</v>
      </c>
      <c r="M8" s="96" t="n">
        <v>1100</v>
      </c>
      <c r="N8" s="96" t="n">
        <v>1300</v>
      </c>
      <c r="O8" s="96" t="n">
        <v>1400</v>
      </c>
      <c r="P8" s="96" t="n">
        <v>1500</v>
      </c>
      <c r="Q8" s="96" t="n">
        <v>1600</v>
      </c>
      <c r="R8" s="96" t="n">
        <v>1700</v>
      </c>
      <c r="S8" s="96" t="n">
        <v>1800</v>
      </c>
      <c r="T8" s="96" t="n">
        <v>1900</v>
      </c>
      <c r="U8" s="96" t="n">
        <v>2000</v>
      </c>
      <c r="V8" s="96" t="n">
        <v>2100</v>
      </c>
      <c r="W8" s="96" t="n">
        <v>2200</v>
      </c>
      <c r="X8" s="96" t="n">
        <v>2300</v>
      </c>
      <c r="Y8" s="96" t="n">
        <v>2400</v>
      </c>
      <c r="AG8" s="95" t="n"/>
    </row>
    <row r="9" ht="39.75" customHeight="1" thickBot="1">
      <c r="B9" s="1" t="inlineStr">
        <is>
          <t>3/</t>
        </is>
      </c>
      <c r="C9" s="1" t="inlineStr">
        <is>
          <t>Mes résultats mensuels</t>
        </is>
      </c>
      <c r="D9" s="1" t="n"/>
      <c r="E9" s="1" t="n"/>
      <c r="H9" s="96">
        <f>'3. test détail ventes réalisées'!D20</f>
        <v/>
      </c>
      <c r="I9" s="96">
        <f>'3. test détail ventes réalisées'!F20</f>
        <v/>
      </c>
      <c r="J9" s="96">
        <f>'3. test détail ventes réalisées'!H20</f>
        <v/>
      </c>
      <c r="K9" s="96">
        <f>'3. test détail ventes réalisées'!J20</f>
        <v/>
      </c>
      <c r="L9" s="96">
        <f>'3. test détail ventes réalisées'!L20</f>
        <v/>
      </c>
      <c r="M9" s="96">
        <f>'3. test détail ventes réalisées'!N20</f>
        <v/>
      </c>
      <c r="N9" s="96">
        <f>'3. test détail ventes réalisées'!P20</f>
        <v/>
      </c>
      <c r="O9" s="96">
        <f>'3. test détail ventes réalisées'!R20</f>
        <v/>
      </c>
      <c r="P9" s="96">
        <f>'3. test détail ventes réalisées'!T20</f>
        <v/>
      </c>
      <c r="Q9" s="96">
        <f>'3. test détail ventes réalisées'!V20</f>
        <v/>
      </c>
      <c r="R9" s="96">
        <f>'3. test détail ventes réalisées'!X20</f>
        <v/>
      </c>
      <c r="S9" s="96">
        <f>'3. test détail ventes réalisées'!Z20</f>
        <v/>
      </c>
      <c r="T9" s="96">
        <f>'3. test détail ventes réalisées'!AB20</f>
        <v/>
      </c>
      <c r="U9" s="96">
        <f>'3. test détail ventes réalisées'!AD20</f>
        <v/>
      </c>
      <c r="V9" s="96">
        <f>'3. test détail ventes réalisées'!AF20</f>
        <v/>
      </c>
      <c r="W9" s="96">
        <f>'3. test détail ventes réalisées'!AH20</f>
        <v/>
      </c>
      <c r="X9" s="96">
        <f>'3. test détail ventes réalisées'!AJ20</f>
        <v/>
      </c>
      <c r="Y9" s="96">
        <f>'3. test détail ventes réalisées'!AL20</f>
        <v/>
      </c>
      <c r="AG9" s="95" t="n"/>
    </row>
    <row r="10" ht="13.8" customHeight="1" thickBot="1">
      <c r="H10" s="9" t="n">
        <v>1</v>
      </c>
      <c r="I10" s="10">
        <f>H10+1</f>
        <v/>
      </c>
      <c r="J10" s="10">
        <f>I10+1</f>
        <v/>
      </c>
      <c r="K10" s="10">
        <f>J10+1</f>
        <v/>
      </c>
      <c r="L10" s="10">
        <f>K10+1</f>
        <v/>
      </c>
      <c r="M10" s="10">
        <f>L10+1</f>
        <v/>
      </c>
      <c r="N10" s="10">
        <f>M10+1</f>
        <v/>
      </c>
      <c r="O10" s="10">
        <f>N10+1</f>
        <v/>
      </c>
      <c r="P10" s="10">
        <f>O10+1</f>
        <v/>
      </c>
      <c r="Q10" s="10">
        <f>P10+1</f>
        <v/>
      </c>
      <c r="R10" s="10">
        <f>Q10+1</f>
        <v/>
      </c>
      <c r="S10" s="10">
        <f>R10+1</f>
        <v/>
      </c>
      <c r="T10" s="10">
        <f>S10+1</f>
        <v/>
      </c>
      <c r="U10" s="10">
        <f>T10+1</f>
        <v/>
      </c>
      <c r="V10" s="10">
        <f>U10+1</f>
        <v/>
      </c>
      <c r="W10" s="10">
        <f>V10+1</f>
        <v/>
      </c>
      <c r="X10" s="10">
        <f>W10+1</f>
        <v/>
      </c>
      <c r="Y10" s="11">
        <f>X10+1</f>
        <v/>
      </c>
      <c r="Z10" s="6" t="n">
        <v>1</v>
      </c>
      <c r="AA10" s="6">
        <f>Z10+1</f>
        <v/>
      </c>
      <c r="AB10" s="6">
        <f>AA10+1</f>
        <v/>
      </c>
      <c r="AC10" s="6">
        <f>AB10+1</f>
        <v/>
      </c>
      <c r="AD10" s="6">
        <f>AC10+1</f>
        <v/>
      </c>
      <c r="AE10" s="7">
        <f>AD10+1</f>
        <v/>
      </c>
    </row>
    <row r="11" ht="13.5" customHeight="1" thickBot="1">
      <c r="H11" s="97" t="inlineStr">
        <is>
          <t>Vendre - produire - facturer</t>
        </is>
      </c>
      <c r="I11" s="29" t="n"/>
      <c r="J11" s="29" t="n"/>
      <c r="K11" s="29" t="n"/>
      <c r="L11" s="29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98" t="n"/>
      <c r="Z11" s="99" t="inlineStr">
        <is>
          <t>Lancement seul</t>
        </is>
      </c>
      <c r="AA11" s="29" t="n"/>
      <c r="AB11" s="29" t="n"/>
      <c r="AC11" s="29" t="n"/>
      <c r="AD11" s="29" t="n"/>
      <c r="AE11" s="98" t="n"/>
    </row>
    <row r="12" ht="52.5" customHeight="1"/>
    <row r="13" ht="16.2" customHeight="1" thickBot="1">
      <c r="B13" s="19" t="n"/>
      <c r="J13" s="82" t="n"/>
      <c r="K13" s="82" t="n"/>
    </row>
    <row r="14" ht="13.8" customHeight="1" thickBot="1">
      <c r="H14" s="16" t="n">
        <v>1</v>
      </c>
      <c r="I14" s="17">
        <f>H14+1</f>
        <v/>
      </c>
      <c r="J14" s="17">
        <f>I14+1</f>
        <v/>
      </c>
      <c r="K14" s="17">
        <f>J14+1</f>
        <v/>
      </c>
      <c r="L14" s="17">
        <f>K14+1</f>
        <v/>
      </c>
      <c r="M14" s="17">
        <f>L14+1</f>
        <v/>
      </c>
      <c r="N14" s="17">
        <f>M14+1</f>
        <v/>
      </c>
      <c r="O14" s="17">
        <f>N14+1</f>
        <v/>
      </c>
      <c r="P14" s="17">
        <f>O14+1</f>
        <v/>
      </c>
      <c r="Q14" s="17">
        <f>P14+1</f>
        <v/>
      </c>
      <c r="R14" s="17">
        <f>Q14+1</f>
        <v/>
      </c>
      <c r="S14" s="17">
        <f>R14+1</f>
        <v/>
      </c>
      <c r="T14" s="17">
        <f>S14+1</f>
        <v/>
      </c>
      <c r="U14" s="17">
        <f>T14+1</f>
        <v/>
      </c>
      <c r="V14" s="17">
        <f>U14+1</f>
        <v/>
      </c>
      <c r="W14" s="17">
        <f>V14+1</f>
        <v/>
      </c>
      <c r="X14" s="17">
        <f>W14+1</f>
        <v/>
      </c>
      <c r="Y14" s="18">
        <f>X14+1</f>
        <v/>
      </c>
    </row>
    <row r="15" ht="37.5" customHeight="1">
      <c r="B15" s="1" t="inlineStr">
        <is>
          <t>4/</t>
        </is>
      </c>
      <c r="C15" s="1" t="inlineStr">
        <is>
          <t>Mes objectifs cumulés</t>
        </is>
      </c>
      <c r="H15" s="8" t="n"/>
      <c r="I15" s="100">
        <f>+H7</f>
        <v/>
      </c>
      <c r="J15" s="101">
        <f>+I15+I7</f>
        <v/>
      </c>
      <c r="K15" s="101">
        <f>+J15+J7</f>
        <v/>
      </c>
      <c r="L15" s="101">
        <f>+K15+K7</f>
        <v/>
      </c>
      <c r="M15" s="101">
        <f>+L15+L7</f>
        <v/>
      </c>
      <c r="N15" s="101">
        <f>+M15+M7</f>
        <v/>
      </c>
      <c r="O15" s="101">
        <f>+N15+N7</f>
        <v/>
      </c>
      <c r="P15" s="101">
        <f>+O15+O7</f>
        <v/>
      </c>
      <c r="Q15" s="101">
        <f>+P15+P7</f>
        <v/>
      </c>
      <c r="R15" s="101">
        <f>+Q15+Q7</f>
        <v/>
      </c>
      <c r="S15" s="101">
        <f>+R15+R7</f>
        <v/>
      </c>
      <c r="T15" s="101">
        <f>+S15+S7</f>
        <v/>
      </c>
      <c r="U15" s="101">
        <f>+T15+T7</f>
        <v/>
      </c>
      <c r="V15" s="101">
        <f>+U15+U7</f>
        <v/>
      </c>
      <c r="W15" s="101">
        <f>+V15+V7</f>
        <v/>
      </c>
      <c r="X15" s="101">
        <f>+W15+W7</f>
        <v/>
      </c>
      <c r="Y15" s="101">
        <f>+X15+X7</f>
        <v/>
      </c>
      <c r="Z15" s="101">
        <f>+Y15+Y7</f>
        <v/>
      </c>
      <c r="AA15" s="1" t="n"/>
    </row>
    <row r="16" ht="37.5" customHeight="1">
      <c r="B16" s="1" t="inlineStr">
        <is>
          <t>5/</t>
        </is>
      </c>
      <c r="C16" s="1" t="inlineStr">
        <is>
          <t>Le parcours "moyen" cumulé</t>
        </is>
      </c>
      <c r="H16" s="8" t="n"/>
      <c r="I16" s="100">
        <f>+H8</f>
        <v/>
      </c>
      <c r="J16" s="101">
        <f>+I16+I8</f>
        <v/>
      </c>
      <c r="K16" s="101">
        <f>+J16+J8</f>
        <v/>
      </c>
      <c r="L16" s="101">
        <f>+K16+K8</f>
        <v/>
      </c>
      <c r="M16" s="101">
        <f>+L16+L8</f>
        <v/>
      </c>
      <c r="N16" s="101">
        <f>+M16+M8</f>
        <v/>
      </c>
      <c r="O16" s="101">
        <f>+N16+N8</f>
        <v/>
      </c>
      <c r="P16" s="101">
        <f>+O16+O8</f>
        <v/>
      </c>
      <c r="Q16" s="101">
        <f>+P16+P8</f>
        <v/>
      </c>
      <c r="R16" s="101">
        <f>+Q16+Q8</f>
        <v/>
      </c>
      <c r="S16" s="101">
        <f>+R16+R8</f>
        <v/>
      </c>
      <c r="T16" s="101">
        <f>+S16+S8</f>
        <v/>
      </c>
      <c r="U16" s="101">
        <f>+T16+T8</f>
        <v/>
      </c>
      <c r="V16" s="101">
        <f>+U16+U8</f>
        <v/>
      </c>
      <c r="W16" s="101">
        <f>+V16+V8</f>
        <v/>
      </c>
      <c r="X16" s="101">
        <f>+W16+W8</f>
        <v/>
      </c>
      <c r="Y16" s="101">
        <f>+X16+X8</f>
        <v/>
      </c>
      <c r="Z16" s="101">
        <f>+Y16+Y8</f>
        <v/>
      </c>
      <c r="AA16" s="1" t="n"/>
    </row>
    <row r="17" ht="37.5" customHeight="1">
      <c r="B17" s="1" t="inlineStr">
        <is>
          <t>6/</t>
        </is>
      </c>
      <c r="C17" s="1" t="inlineStr">
        <is>
          <t>Mes résultats cumulés</t>
        </is>
      </c>
      <c r="H17" s="8" t="n"/>
      <c r="I17" s="100">
        <f>+H9</f>
        <v/>
      </c>
      <c r="J17" s="101">
        <f>+I17+I9</f>
        <v/>
      </c>
      <c r="K17" s="101">
        <f>+J17+J9</f>
        <v/>
      </c>
      <c r="L17" s="101">
        <f>+K17+K9</f>
        <v/>
      </c>
      <c r="M17" s="101">
        <f>+L17+L9</f>
        <v/>
      </c>
      <c r="N17" s="101">
        <f>+M17+M9</f>
        <v/>
      </c>
      <c r="O17" s="101">
        <f>+N17+N9</f>
        <v/>
      </c>
      <c r="P17" s="101">
        <f>+O17+O9</f>
        <v/>
      </c>
      <c r="Q17" s="101">
        <f>+P17+P9</f>
        <v/>
      </c>
      <c r="R17" s="101">
        <f>+Q17+Q9</f>
        <v/>
      </c>
      <c r="S17" s="101">
        <f>+R17+R9</f>
        <v/>
      </c>
      <c r="T17" s="101">
        <f>+S17+S9</f>
        <v/>
      </c>
      <c r="U17" s="101">
        <f>+T17+T9</f>
        <v/>
      </c>
      <c r="V17" s="101">
        <f>+U17+U9</f>
        <v/>
      </c>
      <c r="W17" s="101">
        <f>+V17+V9</f>
        <v/>
      </c>
      <c r="X17" s="101" t="n"/>
      <c r="Y17" s="101" t="n"/>
      <c r="Z17" s="101" t="n"/>
      <c r="AA17" s="1" t="n"/>
    </row>
  </sheetData>
  <mergeCells count="5">
    <mergeCell ref="H11:Y11"/>
    <mergeCell ref="Z11:AE11"/>
    <mergeCell ref="A5:B5"/>
    <mergeCell ref="G5:H5"/>
    <mergeCell ref="Y5:Z5"/>
  </mergeCells>
  <printOptions horizontalCentered="1"/>
  <pageMargins left="0.1968503937007874" right="0.1968503937007874" top="0.1968503937007874" bottom="0.1968503937007874" header="0.5118110236220472" footer="0.5118110236220472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I6:AK25"/>
  <sheetViews>
    <sheetView workbookViewId="0">
      <selection activeCell="AM21" sqref="AM21"/>
    </sheetView>
  </sheetViews>
  <sheetFormatPr baseColWidth="10" defaultRowHeight="13.2"/>
  <sheetData>
    <row r="6">
      <c r="I6" s="46" t="n"/>
      <c r="K6" s="46" t="n"/>
      <c r="M6" s="46" t="n"/>
      <c r="O6" s="46" t="n"/>
      <c r="Q6" s="46" t="n"/>
      <c r="S6" s="46" t="n"/>
      <c r="U6" s="46" t="n"/>
      <c r="W6" s="46" t="n"/>
      <c r="Y6" s="46" t="n"/>
      <c r="AA6" s="46" t="n"/>
      <c r="AC6" s="46" t="n"/>
      <c r="AE6" s="46" t="n"/>
      <c r="AG6" s="46" t="n"/>
      <c r="AI6" s="46" t="n"/>
      <c r="AK6" s="46" t="n"/>
    </row>
    <row r="7">
      <c r="I7" s="46" t="n"/>
      <c r="K7" s="46" t="n"/>
      <c r="M7" s="46" t="n"/>
      <c r="O7" s="46" t="n"/>
      <c r="Q7" s="46" t="n"/>
      <c r="S7" s="46" t="n"/>
      <c r="U7" s="46" t="n"/>
      <c r="W7" s="46" t="n"/>
      <c r="Y7" s="46" t="n"/>
      <c r="AA7" s="46" t="n"/>
      <c r="AC7" s="46" t="n"/>
      <c r="AE7" s="46" t="n"/>
      <c r="AG7" s="46" t="n"/>
      <c r="AI7" s="46" t="n"/>
      <c r="AK7" s="46" t="n"/>
    </row>
    <row r="8">
      <c r="I8" s="46" t="n"/>
      <c r="K8" s="46" t="n"/>
      <c r="M8" s="46" t="n"/>
      <c r="O8" s="46" t="n"/>
      <c r="Q8" s="46" t="n"/>
      <c r="S8" s="46" t="n"/>
      <c r="U8" s="46" t="n"/>
      <c r="W8" s="46" t="n"/>
      <c r="Y8" s="46" t="n"/>
      <c r="AA8" s="46" t="n"/>
      <c r="AC8" s="46" t="n"/>
      <c r="AE8" s="46" t="n"/>
      <c r="AG8" s="46" t="n"/>
      <c r="AI8" s="46" t="n"/>
      <c r="AK8" s="46" t="n"/>
    </row>
    <row r="9">
      <c r="I9" s="46" t="n"/>
      <c r="K9" s="46" t="n"/>
      <c r="M9" s="46" t="n"/>
      <c r="O9" s="46" t="n"/>
      <c r="Q9" s="46" t="n"/>
      <c r="S9" s="46" t="n"/>
      <c r="U9" s="46" t="n"/>
      <c r="W9" s="46" t="n"/>
      <c r="Y9" s="46" t="n"/>
      <c r="AA9" s="46" t="n"/>
      <c r="AC9" s="46" t="n"/>
      <c r="AE9" s="46" t="n"/>
      <c r="AG9" s="46" t="n"/>
      <c r="AI9" s="46" t="n"/>
      <c r="AK9" s="46" t="n"/>
    </row>
    <row r="10">
      <c r="I10" s="46" t="n"/>
      <c r="K10" s="46" t="n"/>
      <c r="M10" s="46" t="n"/>
      <c r="O10" s="46" t="n"/>
      <c r="Q10" s="46" t="n"/>
      <c r="S10" s="46" t="n"/>
      <c r="U10" s="46" t="n"/>
      <c r="W10" s="46" t="n"/>
      <c r="Y10" s="46" t="n"/>
      <c r="AA10" s="46" t="n"/>
      <c r="AC10" s="46" t="n"/>
      <c r="AE10" s="46" t="n"/>
      <c r="AG10" s="46" t="n"/>
      <c r="AI10" s="46" t="n"/>
      <c r="AK10" s="46" t="n"/>
    </row>
    <row r="11">
      <c r="I11" s="46" t="n"/>
      <c r="K11" s="46" t="n"/>
      <c r="M11" s="46" t="n"/>
      <c r="O11" s="46" t="n"/>
      <c r="Q11" s="46" t="n"/>
      <c r="S11" s="46" t="n"/>
      <c r="U11" s="46" t="n"/>
      <c r="W11" s="46" t="n"/>
      <c r="Y11" s="46" t="n"/>
      <c r="AA11" s="46" t="n"/>
      <c r="AC11" s="46" t="n"/>
      <c r="AE11" s="46" t="n"/>
      <c r="AG11" s="46" t="n"/>
      <c r="AI11" s="46" t="n"/>
      <c r="AK11" s="46" t="n"/>
    </row>
    <row r="12">
      <c r="I12" s="46" t="n"/>
      <c r="K12" s="46" t="n"/>
      <c r="M12" s="46" t="n"/>
      <c r="O12" s="46" t="n"/>
      <c r="Q12" s="46" t="n"/>
      <c r="S12" s="46" t="n"/>
      <c r="U12" s="46" t="n"/>
      <c r="W12" s="46" t="n"/>
      <c r="Y12" s="46" t="n"/>
      <c r="AA12" s="46" t="n"/>
      <c r="AC12" s="46" t="n"/>
      <c r="AE12" s="46" t="n"/>
      <c r="AG12" s="46" t="n"/>
      <c r="AI12" s="46" t="n"/>
      <c r="AK12" s="46" t="n"/>
    </row>
    <row r="13">
      <c r="I13" s="46" t="n"/>
      <c r="K13" s="46" t="n"/>
      <c r="M13" s="46" t="n"/>
      <c r="O13" s="46" t="n"/>
      <c r="Q13" s="46" t="n"/>
      <c r="S13" s="46" t="n"/>
      <c r="U13" s="46" t="n"/>
      <c r="W13" s="46" t="n"/>
      <c r="Y13" s="46" t="n"/>
      <c r="AA13" s="46" t="n"/>
      <c r="AC13" s="46" t="n"/>
      <c r="AE13" s="46" t="n"/>
      <c r="AG13" s="46" t="n"/>
      <c r="AI13" s="46" t="n"/>
      <c r="AK13" s="46" t="n"/>
    </row>
    <row r="14">
      <c r="I14" s="46" t="n"/>
      <c r="K14" s="46" t="n"/>
      <c r="M14" s="46" t="n"/>
      <c r="O14" s="46" t="n"/>
      <c r="Q14" s="46" t="n"/>
      <c r="S14" s="46" t="n"/>
      <c r="U14" s="46" t="n"/>
      <c r="W14" s="46" t="n"/>
      <c r="Y14" s="46" t="n"/>
      <c r="AA14" s="46" t="n"/>
      <c r="AC14" s="46" t="n"/>
      <c r="AE14" s="46" t="n"/>
      <c r="AG14" s="46" t="n"/>
      <c r="AI14" s="46" t="n"/>
      <c r="AK14" s="46" t="n"/>
    </row>
    <row r="15">
      <c r="I15" s="46" t="n"/>
      <c r="K15" s="46" t="n"/>
      <c r="M15" s="46" t="n"/>
      <c r="O15" s="46" t="n"/>
      <c r="Q15" s="46" t="n"/>
      <c r="S15" s="46" t="n"/>
      <c r="U15" s="46" t="n"/>
      <c r="W15" s="46" t="n"/>
      <c r="Y15" s="46" t="n"/>
      <c r="AA15" s="46" t="n"/>
      <c r="AC15" s="46" t="n"/>
      <c r="AE15" s="46" t="n"/>
      <c r="AG15" s="46" t="n"/>
      <c r="AI15" s="46" t="n"/>
      <c r="AK15" s="46" t="n"/>
    </row>
    <row r="16">
      <c r="I16" s="46" t="n"/>
      <c r="K16" s="46" t="n"/>
      <c r="M16" s="46" t="n"/>
      <c r="O16" s="46" t="n"/>
      <c r="Q16" s="46" t="n"/>
      <c r="S16" s="46" t="n"/>
      <c r="U16" s="46" t="n"/>
      <c r="W16" s="46" t="n"/>
      <c r="Y16" s="46" t="n"/>
      <c r="AA16" s="46" t="n"/>
      <c r="AC16" s="46" t="n"/>
      <c r="AE16" s="46" t="n"/>
      <c r="AG16" s="46" t="n"/>
      <c r="AI16" s="46" t="n"/>
      <c r="AK16" s="46" t="n"/>
    </row>
    <row r="17">
      <c r="I17" s="46" t="n"/>
      <c r="K17" s="46" t="n"/>
      <c r="M17" s="46" t="n"/>
      <c r="O17" s="46" t="n"/>
      <c r="Q17" s="46" t="n"/>
      <c r="S17" s="46" t="n"/>
      <c r="U17" s="46" t="n"/>
      <c r="W17" s="46" t="n"/>
      <c r="Y17" s="46" t="n"/>
      <c r="AA17" s="46" t="n"/>
      <c r="AC17" s="46" t="n"/>
      <c r="AE17" s="46" t="n"/>
      <c r="AG17" s="46" t="n"/>
      <c r="AI17" s="46" t="n"/>
      <c r="AK17" s="46" t="n"/>
    </row>
    <row r="18">
      <c r="I18" s="46" t="n"/>
      <c r="K18" s="46" t="n"/>
      <c r="M18" s="46" t="n"/>
      <c r="O18" s="46" t="n"/>
      <c r="Q18" s="46" t="n"/>
      <c r="S18" s="46" t="n"/>
      <c r="U18" s="46" t="n"/>
      <c r="W18" s="46" t="n"/>
      <c r="Y18" s="46" t="n"/>
      <c r="AA18" s="46" t="n"/>
      <c r="AC18" s="46" t="n"/>
      <c r="AE18" s="46" t="n"/>
      <c r="AG18" s="46" t="n"/>
      <c r="AI18" s="46" t="n"/>
      <c r="AK18" s="46" t="n"/>
    </row>
    <row r="19">
      <c r="I19" s="46" t="n"/>
      <c r="K19" s="46" t="n"/>
      <c r="M19" s="46" t="n"/>
      <c r="O19" s="46" t="n"/>
      <c r="Q19" s="46" t="n"/>
      <c r="S19" s="46" t="n"/>
      <c r="U19" s="46" t="n"/>
      <c r="W19" s="46" t="n"/>
      <c r="Y19" s="46" t="n"/>
      <c r="AA19" s="46" t="n"/>
      <c r="AC19" s="46" t="n"/>
      <c r="AE19" s="46" t="n"/>
      <c r="AG19" s="46" t="n"/>
      <c r="AI19" s="46" t="n"/>
      <c r="AK19" s="46" t="n"/>
    </row>
    <row r="20">
      <c r="I20" s="46" t="n"/>
      <c r="K20" s="46" t="n"/>
      <c r="M20" s="46" t="n"/>
      <c r="O20" s="46" t="n"/>
      <c r="Q20" s="46" t="n"/>
      <c r="S20" s="46" t="n"/>
      <c r="U20" s="46" t="n"/>
      <c r="W20" s="46" t="n"/>
      <c r="Y20" s="46" t="n"/>
      <c r="AA20" s="46" t="n"/>
      <c r="AC20" s="46" t="n"/>
      <c r="AE20" s="46" t="n"/>
      <c r="AG20" s="46" t="n"/>
      <c r="AI20" s="46" t="n"/>
      <c r="AK20" s="46" t="n"/>
    </row>
    <row r="21">
      <c r="I21" s="46" t="n"/>
      <c r="K21" s="46" t="n"/>
      <c r="M21" s="46" t="n"/>
      <c r="O21" s="46" t="n"/>
      <c r="Q21" s="46" t="n"/>
      <c r="S21" s="46" t="n"/>
      <c r="U21" s="46" t="n"/>
      <c r="W21" s="46" t="n"/>
      <c r="Y21" s="46" t="n"/>
      <c r="AA21" s="46" t="n"/>
      <c r="AC21" s="46" t="n"/>
      <c r="AE21" s="46" t="n"/>
      <c r="AG21" s="46" t="n"/>
      <c r="AI21" s="46" t="n"/>
      <c r="AK21" s="46" t="n"/>
    </row>
    <row r="22">
      <c r="I22" s="46" t="n"/>
      <c r="K22" s="46" t="n"/>
      <c r="M22" s="46" t="n"/>
      <c r="O22" s="46" t="n"/>
      <c r="Q22" s="46" t="n"/>
      <c r="S22" s="46" t="n"/>
      <c r="U22" s="46" t="n"/>
      <c r="W22" s="46" t="n"/>
      <c r="Y22" s="46" t="n"/>
      <c r="AA22" s="46" t="n"/>
      <c r="AC22" s="46" t="n"/>
      <c r="AE22" s="46" t="n"/>
      <c r="AG22" s="46" t="n"/>
      <c r="AI22" s="46" t="n"/>
      <c r="AK22" s="46" t="n"/>
    </row>
    <row r="23">
      <c r="S23" s="46" t="n"/>
      <c r="U23" s="46" t="n"/>
      <c r="W23" s="46" t="n"/>
      <c r="Y23" s="46" t="n"/>
      <c r="AA23" s="46" t="n"/>
      <c r="AC23" s="46" t="n"/>
      <c r="AE23" s="46" t="n"/>
      <c r="AG23" s="46" t="n"/>
      <c r="AI23" s="46" t="n"/>
      <c r="AK23" s="46" t="n"/>
    </row>
    <row r="24">
      <c r="S24" s="46" t="n"/>
      <c r="W24" s="46" t="n"/>
      <c r="Y24" s="46" t="n"/>
      <c r="AA24" s="46" t="n"/>
      <c r="AC24" s="46" t="n"/>
      <c r="AE24" s="46" t="n"/>
      <c r="AG24" s="46" t="n"/>
      <c r="AI24" s="46" t="n"/>
      <c r="AK24" s="46" t="n"/>
    </row>
    <row r="25">
      <c r="S25" s="46" t="n"/>
      <c r="W25" s="46" t="n"/>
      <c r="Y25" s="46" t="n"/>
      <c r="AA25" s="46" t="n"/>
      <c r="AC25" s="46" t="n"/>
      <c r="AE25" s="46" t="n"/>
      <c r="AG25" s="46" t="n"/>
      <c r="AI25" s="46" t="n"/>
      <c r="AK25" s="46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3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1996-11-27T13:48:17Z</dcterms:created>
  <dcterms:modified xmlns:dcterms="http://purl.org/dc/terms/" xmlns:xsi="http://www.w3.org/2001/XMLSchema-instance" xsi:type="dcterms:W3CDTF">2026-07-27T11:59:42Z</dcterms:modified>
  <cp:lastModifiedBy>Magali Rigo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0x01010050A19B864FBFEB4A9648212F5865B6A5</vt:lpwstr>
  </property>
  <property name="MediaServiceImageTags" fmtid="{D5CDD505-2E9C-101B-9397-08002B2CF9AE}" pid="3">
    <vt:lpwstr xmlns:vt="http://schemas.openxmlformats.org/officeDocument/2006/docPropsVTypes"/>
  </property>
</Properties>
</file>