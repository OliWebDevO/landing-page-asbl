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21360" tabRatio="822" firstSheet="0" activeTab="7" autoFilterDateGrouping="1"/>
  </bookViews>
  <sheets>
    <sheet xmlns:r="http://schemas.openxmlformats.org/officeDocument/2006/relationships" name="Intro" sheetId="1" state="visible" r:id="rId1"/>
    <sheet xmlns:r="http://schemas.openxmlformats.org/officeDocument/2006/relationships" name="Investissement" sheetId="2" state="visible" r:id="rId2"/>
    <sheet xmlns:r="http://schemas.openxmlformats.org/officeDocument/2006/relationships" name="Frais Généraux" sheetId="3" state="visible" r:id="rId3"/>
    <sheet xmlns:r="http://schemas.openxmlformats.org/officeDocument/2006/relationships" name="CA et Marge Brute" sheetId="4" state="visible" r:id="rId4"/>
    <sheet xmlns:r="http://schemas.openxmlformats.org/officeDocument/2006/relationships" name="Durée Prod" sheetId="5" state="visible" r:id="rId5"/>
    <sheet xmlns:r="http://schemas.openxmlformats.org/officeDocument/2006/relationships" name="Calcul rém indépendant" sheetId="6" state="visible" r:id="rId6"/>
    <sheet xmlns:r="http://schemas.openxmlformats.org/officeDocument/2006/relationships" name="fond de roulement" sheetId="7" state="visible" r:id="rId7"/>
    <sheet xmlns:r="http://schemas.openxmlformats.org/officeDocument/2006/relationships" name="Seuil de rentabilité" sheetId="8" state="visible" r:id="rId8"/>
  </sheets>
  <definedNames>
    <definedName name="FG">'Seuil de rentabilité'!$C$4</definedName>
    <definedName name="MB_UV">'Seuil de rentabilité'!$C$5</definedName>
    <definedName name="Prod1">#REF!</definedName>
    <definedName name="Prod10">#REF!</definedName>
    <definedName name="Prod2">#REF!</definedName>
    <definedName name="Prod3">#REF!</definedName>
    <definedName name="Prod4">#REF!</definedName>
    <definedName name="Prod5">#REF!</definedName>
    <definedName name="Prod6">#REF!</definedName>
    <definedName name="Prod7">#REF!</definedName>
    <definedName name="Prod8">#REF!</definedName>
    <definedName name="Prod9">#REF!</definedName>
    <definedName name="Z_9603C630_F6C2_4E40_A837_290F953D6A2E_.wvu.Rows" localSheetId="5" hidden="1">'Calcul rém indépendant'!$13:$13,'Calcul rém indépendant'!$15:$16</definedName>
  </definedNames>
  <calcPr calcId="191029" fullCalcOnLoad="1"/>
</workbook>
</file>

<file path=xl/styles.xml><?xml version="1.0" encoding="utf-8"?>
<styleSheet xmlns="http://schemas.openxmlformats.org/spreadsheetml/2006/main">
  <numFmts count="12">
    <numFmt numFmtId="164" formatCode="#,##0\ &quot;€&quot;"/>
    <numFmt numFmtId="165" formatCode="_-* #,##0.00\ [$€-40C]_-;\-* #,##0.00\ [$€-40C]_-;_-* &quot;-&quot;??\ [$€-40C]_-;_-@_-"/>
    <numFmt numFmtId="166" formatCode="_-* #,##0.00\ [$€-1]_-;\-* #,##0.00\ [$€-1]_-;_-* &quot;-&quot;??\ [$€-1]_-;_-@_-"/>
    <numFmt numFmtId="167" formatCode="#,##0_ ;[Red]\-#,##0\ "/>
    <numFmt numFmtId="168" formatCode="_-* #,##0.00\ &quot;€&quot;_-;\-* #,##0.00\ &quot;€&quot;_-;_-* &quot;-&quot;??\ &quot;€&quot;_-;_-@_-"/>
    <numFmt numFmtId="169" formatCode="0.0%"/>
    <numFmt numFmtId="170" formatCode="_-* #,##0.00\ [$€-80C]_-;\-* #,##0.00\ [$€-80C]_-;_-* &quot;-&quot;??\ [$€-80C]_-;_-@_-"/>
    <numFmt numFmtId="171" formatCode="#,##0.00_ ;[Red]\-#,##0.00\ "/>
    <numFmt numFmtId="172" formatCode="#,##0.00_ ;\-#,##0.00\ "/>
    <numFmt numFmtId="173" formatCode="#,##0.00\ &quot;€&quot;"/>
    <numFmt numFmtId="174" formatCode="#,##0.00\ _€"/>
    <numFmt numFmtId="175" formatCode="#,##0.0_ ;[Red]\-#,##0.0\ "/>
  </numFmts>
  <fonts count="60">
    <font>
      <name val="Calibri"/>
      <family val="2"/>
      <color theme="1"/>
      <sz val="12"/>
      <scheme val="minor"/>
    </font>
    <font>
      <name val="Calibri"/>
      <family val="2"/>
      <color theme="10"/>
      <sz val="12"/>
      <u val="single"/>
      <scheme val="minor"/>
    </font>
    <font>
      <name val="Calibri"/>
      <family val="2"/>
      <color theme="11"/>
      <sz val="12"/>
      <u val="single"/>
      <scheme val="minor"/>
    </font>
    <font>
      <name val="Calibri"/>
      <family val="2"/>
      <color theme="1"/>
      <sz val="12"/>
      <scheme val="minor"/>
    </font>
    <font>
      <name val="Arial"/>
      <family val="2"/>
      <sz val="10"/>
    </font>
    <font>
      <name val="Century Gothic"/>
      <family val="2"/>
      <sz val="11"/>
    </font>
    <font>
      <name val="Century Gothic"/>
      <family val="2"/>
      <color theme="1"/>
      <sz val="11"/>
    </font>
    <font>
      <name val="Century Gothic"/>
      <family val="2"/>
      <b val="1"/>
      <color theme="1"/>
      <sz val="11"/>
    </font>
    <font>
      <name val="Century Gothic"/>
      <family val="2"/>
      <i val="1"/>
      <color theme="1"/>
      <sz val="11"/>
    </font>
    <font>
      <name val="Century Gothic"/>
      <family val="2"/>
      <b val="1"/>
      <color theme="1"/>
      <sz val="14"/>
    </font>
    <font>
      <name val="Century Gothic"/>
      <family val="2"/>
      <b val="1"/>
      <color theme="0"/>
      <sz val="11"/>
    </font>
    <font>
      <name val="Century Gothic"/>
      <family val="2"/>
      <b val="1"/>
      <sz val="14"/>
    </font>
    <font>
      <name val="Century Gothic"/>
      <family val="2"/>
      <b val="1"/>
      <sz val="11"/>
    </font>
    <font>
      <name val="Century Gothic"/>
      <family val="2"/>
      <b val="1"/>
      <i val="1"/>
      <sz val="11"/>
    </font>
    <font>
      <name val="Century Gothic"/>
      <family val="2"/>
      <i val="1"/>
      <sz val="11"/>
    </font>
    <font>
      <name val="Century Gothic"/>
      <family val="2"/>
      <b val="1"/>
      <sz val="11"/>
      <u val="single"/>
    </font>
    <font>
      <name val="Century Gothic"/>
      <family val="2"/>
      <sz val="11"/>
      <u val="single"/>
    </font>
    <font>
      <name val="Century Gothic"/>
      <family val="2"/>
      <b val="1"/>
      <color indexed="60"/>
      <sz val="14"/>
    </font>
    <font>
      <name val="Century Gothic"/>
      <family val="2"/>
      <color theme="1"/>
      <sz val="14"/>
    </font>
    <font>
      <name val="Century Gothic"/>
      <family val="2"/>
      <b val="1"/>
      <color theme="1"/>
      <sz val="14"/>
    </font>
    <font>
      <name val="Century Gothic"/>
      <family val="2"/>
      <b val="1"/>
      <color theme="1"/>
      <sz val="11"/>
    </font>
    <font>
      <name val="Century Gothic"/>
      <family val="2"/>
      <i val="1"/>
      <color rgb="FFFF0000"/>
      <sz val="11"/>
    </font>
    <font>
      <name val="Arial"/>
      <family val="2"/>
      <b val="1"/>
      <sz val="12"/>
    </font>
    <font>
      <name val="Arial"/>
      <family val="2"/>
      <b val="1"/>
      <sz val="10"/>
    </font>
    <font>
      <name val="Arial"/>
      <family val="2"/>
      <sz val="8"/>
    </font>
    <font>
      <name val="Arial"/>
      <family val="2"/>
      <i val="1"/>
      <sz val="10"/>
    </font>
    <font>
      <name val="Arial"/>
      <family val="2"/>
      <b val="1"/>
      <i val="1"/>
      <sz val="10"/>
    </font>
    <font>
      <name val="Century Gothic"/>
      <family val="2"/>
      <i val="1"/>
      <sz val="11"/>
    </font>
    <font>
      <name val="Century Gothic"/>
      <family val="2"/>
      <sz val="11"/>
    </font>
    <font>
      <name val="Calibri"/>
      <family val="2"/>
      <color rgb="FFFF0000"/>
      <sz val="11"/>
      <scheme val="minor"/>
    </font>
    <font>
      <name val="Century Gothic"/>
      <family val="1"/>
      <color theme="1"/>
      <sz val="12"/>
    </font>
    <font>
      <name val="Century Gothic"/>
      <family val="1"/>
      <color theme="1"/>
      <sz val="11"/>
    </font>
    <font>
      <name val="Tahoma"/>
      <family val="2"/>
      <b val="1"/>
      <color indexed="81"/>
      <sz val="9"/>
    </font>
    <font>
      <name val="Tahoma"/>
      <family val="2"/>
      <color indexed="81"/>
      <sz val="9"/>
    </font>
    <font>
      <name val="Century Gothic"/>
      <family val="2"/>
      <b val="1"/>
      <color theme="1"/>
      <sz val="10"/>
    </font>
    <font>
      <name val="Century Gothic"/>
      <family val="2"/>
      <color theme="1"/>
      <sz val="9"/>
    </font>
    <font>
      <name val="Century Gothic"/>
      <family val="2"/>
      <b val="1"/>
      <color rgb="FFFF0000"/>
      <sz val="20"/>
    </font>
    <font>
      <name val="Calibri"/>
      <family val="2"/>
      <b val="1"/>
      <color rgb="FFFF0000"/>
      <sz val="20"/>
      <scheme val="minor"/>
    </font>
    <font>
      <name val="Century Gothic"/>
      <family val="2"/>
      <b val="1"/>
      <i val="1"/>
      <color rgb="FFFF0000"/>
      <sz val="11"/>
    </font>
    <font>
      <name val="Century Gothic"/>
      <family val="2"/>
      <b val="1"/>
      <i val="1"/>
      <color theme="1"/>
      <sz val="11"/>
    </font>
    <font>
      <name val="Calibri"/>
      <family val="2"/>
      <b val="1"/>
      <color theme="1"/>
      <sz val="12"/>
      <scheme val="minor"/>
    </font>
    <font>
      <name val="Century Gothic"/>
      <family val="2"/>
      <b val="1"/>
      <color rgb="FFFF0000"/>
      <sz val="11"/>
    </font>
    <font>
      <name val="Century Gothic"/>
      <family val="2"/>
      <color rgb="FFFF0000"/>
      <sz val="11"/>
    </font>
    <font>
      <name val="Calibri"/>
      <family val="2"/>
      <color rgb="FFFF0000"/>
      <sz val="12"/>
      <scheme val="minor"/>
    </font>
    <font>
      <name val="Century Gothic"/>
      <family val="2"/>
      <color theme="1"/>
      <sz val="9"/>
      <u val="single"/>
    </font>
    <font>
      <name val="Verdana"/>
      <family val="2"/>
      <b val="1"/>
      <color theme="1"/>
      <sz val="9"/>
    </font>
    <font>
      <name val="Verdana"/>
      <family val="2"/>
      <color theme="1"/>
      <sz val="9"/>
    </font>
    <font>
      <name val="Calibri"/>
      <family val="2"/>
      <b val="1"/>
      <color rgb="FFFF0000"/>
      <sz val="11"/>
      <scheme val="minor"/>
    </font>
    <font>
      <name val="Century Gothic"/>
      <family val="1"/>
      <color theme="1"/>
      <sz val="10"/>
    </font>
    <font>
      <name val="Century Gothic"/>
      <family val="2"/>
      <color rgb="FFFF0000"/>
      <sz val="9"/>
    </font>
    <font>
      <name val="Century Gothic"/>
      <family val="2"/>
      <b val="1"/>
      <color rgb="FFFF0000"/>
      <sz val="10"/>
    </font>
    <font>
      <name val="Century Gothic"/>
      <family val="1"/>
      <color rgb="FFFF0000"/>
      <sz val="12"/>
    </font>
    <font>
      <name val="Century Gothic"/>
      <family val="2"/>
      <b val="1"/>
      <sz val="10"/>
    </font>
    <font>
      <name val="Century Gothic"/>
      <family val="2"/>
      <b val="1"/>
      <color rgb="FFFF0000"/>
      <sz val="14"/>
    </font>
    <font>
      <name val="Century Gothic"/>
      <family val="2"/>
      <sz val="9"/>
    </font>
    <font>
      <name val="Century Gothic"/>
      <family val="2"/>
      <color theme="1"/>
      <sz val="8"/>
    </font>
    <font>
      <name val="Calibri"/>
      <family val="2"/>
      <i val="1"/>
      <color theme="1"/>
      <sz val="12"/>
      <scheme val="minor"/>
    </font>
    <font>
      <name val="Century Gothic"/>
      <family val="2"/>
      <sz val="10"/>
    </font>
    <font>
      <name val="Calibri"/>
      <family val="2"/>
      <color theme="1"/>
      <sz val="10"/>
      <scheme val="minor"/>
    </font>
    <font>
      <name val="Calibri"/>
      <family val="2"/>
      <sz val="8"/>
      <scheme val="minor"/>
    </font>
  </fonts>
  <fills count="16">
    <fill>
      <patternFill/>
    </fill>
    <fill>
      <patternFill patternType="gray125"/>
    </fill>
    <fill>
      <patternFill patternType="solid">
        <fgColor theme="1" tint="0.499984740745262"/>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indexed="22"/>
        <bgColor indexed="64"/>
      </patternFill>
    </fill>
    <fill>
      <patternFill patternType="solid">
        <fgColor rgb="FFFFFF00"/>
        <bgColor indexed="64"/>
      </patternFill>
    </fill>
    <fill>
      <patternFill patternType="solid">
        <fgColor theme="9" tint="0.5999938962981048"/>
        <bgColor indexed="64"/>
      </patternFill>
    </fill>
    <fill>
      <patternFill patternType="solid">
        <fgColor theme="4" tint="0.5999938962981048"/>
        <bgColor indexed="64"/>
      </patternFill>
    </fill>
    <fill>
      <patternFill patternType="solid">
        <fgColor theme="0"/>
        <bgColor indexed="64"/>
      </patternFill>
    </fill>
    <fill>
      <patternFill patternType="solid">
        <fgColor theme="6"/>
        <bgColor indexed="64"/>
      </patternFill>
    </fill>
    <fill>
      <patternFill patternType="solid">
        <fgColor theme="6" tint="0.5999938962981048"/>
        <bgColor indexed="64"/>
      </patternFill>
    </fill>
    <fill>
      <patternFill patternType="solid">
        <fgColor theme="5" tint="0.3999755851924192"/>
        <bgColor indexed="64"/>
      </patternFill>
    </fill>
    <fill>
      <patternFill patternType="solid">
        <fgColor rgb="FFFF3300"/>
        <bgColor indexed="64"/>
      </patternFill>
    </fill>
    <fill>
      <patternFill patternType="solid">
        <fgColor theme="6" tint="0.3999755851924192"/>
        <bgColor indexed="64"/>
      </patternFill>
    </fill>
  </fills>
  <borders count="51">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bottom/>
      <diagonal/>
    </border>
    <border>
      <left style="medium">
        <color auto="1"/>
      </left>
      <right/>
      <top/>
      <bottom style="medium">
        <color auto="1"/>
      </bottom>
      <diagonal/>
    </border>
    <border>
      <left style="thin">
        <color auto="1"/>
      </left>
      <right/>
      <top style="medium">
        <color auto="1"/>
      </top>
      <bottom style="medium">
        <color auto="1"/>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style="mediumDashed">
        <color auto="1"/>
      </left>
      <right style="mediumDashed">
        <color auto="1"/>
      </right>
      <top style="mediumDashed">
        <color auto="1"/>
      </top>
      <bottom style="mediumDashed">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Dashed">
        <color auto="1"/>
      </left>
      <right/>
      <top style="mediumDashed">
        <color auto="1"/>
      </top>
      <bottom style="mediumDashed">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top/>
      <bottom style="thin">
        <color auto="1"/>
      </bottom>
      <diagonal/>
    </border>
    <border>
      <left style="thin">
        <color auto="1"/>
      </left>
      <right style="medium">
        <color indexed="64"/>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thin">
        <color auto="1"/>
      </right>
      <top/>
      <bottom style="thin">
        <color auto="1"/>
      </bottom>
      <diagonal/>
    </border>
    <border>
      <left/>
      <right style="thin">
        <color auto="1"/>
      </right>
      <top/>
      <bottom/>
      <diagonal/>
    </border>
    <border>
      <left/>
      <right/>
      <top style="thin">
        <color auto="1"/>
      </top>
      <bottom/>
      <diagonal/>
    </border>
    <border>
      <left/>
      <right style="thin">
        <color auto="1"/>
      </right>
      <top style="thin">
        <color auto="1"/>
      </top>
      <bottom/>
      <diagonal/>
    </border>
  </borders>
  <cellStyleXfs count="7">
    <xf numFmtId="0" fontId="3" fillId="0" borderId="0"/>
    <xf numFmtId="0" fontId="1" fillId="0" borderId="0"/>
    <xf numFmtId="0" fontId="2" fillId="0" borderId="0"/>
    <xf numFmtId="9" fontId="3" fillId="0" borderId="0"/>
    <xf numFmtId="168" fontId="4" fillId="0" borderId="0"/>
    <xf numFmtId="43" fontId="4" fillId="0" borderId="0"/>
    <xf numFmtId="0" fontId="4" fillId="0" borderId="0"/>
  </cellStyleXfs>
  <cellXfs count="341">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6" fillId="0" borderId="0" applyAlignment="1" pivotButton="0" quotePrefix="0" xfId="0">
      <alignment horizontal="center"/>
    </xf>
    <xf numFmtId="0" fontId="7" fillId="0" borderId="1" applyAlignment="1" pivotButton="0" quotePrefix="0" xfId="0">
      <alignment horizontal="left" vertical="center"/>
    </xf>
    <xf numFmtId="0" fontId="6" fillId="0" borderId="1" applyAlignment="1" pivotButton="0" quotePrefix="0" xfId="0">
      <alignment vertical="center"/>
    </xf>
    <xf numFmtId="0" fontId="7" fillId="0" borderId="1" applyAlignment="1" pivotButton="0" quotePrefix="0" xfId="0">
      <alignment horizontal="center" vertical="center" wrapText="1"/>
    </xf>
    <xf numFmtId="0" fontId="8" fillId="0" borderId="1" applyAlignment="1" pivotButton="0" quotePrefix="0" xfId="0">
      <alignment horizontal="center"/>
    </xf>
    <xf numFmtId="0" fontId="8" fillId="0" borderId="1" applyAlignment="1" pivotButton="0" quotePrefix="0" xfId="0">
      <alignment horizontal="center" wrapText="1"/>
    </xf>
    <xf numFmtId="0" fontId="6" fillId="3" borderId="6" pivotButton="0" quotePrefix="0" xfId="0"/>
    <xf numFmtId="0" fontId="6" fillId="3" borderId="6" applyAlignment="1" pivotButton="0" quotePrefix="0" xfId="0">
      <alignment horizontal="center"/>
    </xf>
    <xf numFmtId="0" fontId="6" fillId="0" borderId="6" applyAlignment="1" pivotButton="0" quotePrefix="0" xfId="0">
      <alignment horizontal="center"/>
    </xf>
    <xf numFmtId="164" fontId="6" fillId="0" borderId="1" pivotButton="0" quotePrefix="0" xfId="0"/>
    <xf numFmtId="0" fontId="6" fillId="3" borderId="1" pivotButton="0" quotePrefix="0" xfId="0"/>
    <xf numFmtId="0" fontId="6" fillId="3" borderId="1" applyAlignment="1" pivotButton="0" quotePrefix="0" xfId="0">
      <alignment horizontal="center"/>
    </xf>
    <xf numFmtId="0" fontId="6" fillId="0" borderId="1" applyAlignment="1" pivotButton="0" quotePrefix="0" xfId="0">
      <alignment horizontal="center"/>
    </xf>
    <xf numFmtId="0" fontId="10" fillId="2" borderId="1" applyAlignment="1" pivotButton="0" quotePrefix="0" xfId="0">
      <alignment horizontal="center"/>
    </xf>
    <xf numFmtId="0" fontId="10" fillId="2" borderId="1" pivotButton="0" quotePrefix="0" xfId="0"/>
    <xf numFmtId="164" fontId="10" fillId="2" borderId="1" pivotButton="0" quotePrefix="0" xfId="0"/>
    <xf numFmtId="0" fontId="9" fillId="0" borderId="0" applyAlignment="1" pivotButton="0" quotePrefix="0" xfId="0">
      <alignment vertical="center"/>
    </xf>
    <xf numFmtId="0" fontId="6" fillId="0" borderId="6" pivotButton="0" quotePrefix="0" xfId="0"/>
    <xf numFmtId="0" fontId="6" fillId="0" borderId="1" pivotButton="0" quotePrefix="0" xfId="0"/>
    <xf numFmtId="0" fontId="6" fillId="0" borderId="1" applyAlignment="1" pivotButton="0" quotePrefix="0" xfId="0">
      <alignment wrapText="1"/>
    </xf>
    <xf numFmtId="0" fontId="7" fillId="0" borderId="0" applyAlignment="1" pivotButton="0" quotePrefix="0" xfId="0">
      <alignment horizontal="center" vertical="center" textRotation="255"/>
    </xf>
    <xf numFmtId="165" fontId="10" fillId="2" borderId="1" pivotButton="0" quotePrefix="0" xfId="0"/>
    <xf numFmtId="166" fontId="6" fillId="0" borderId="0" pivotButton="0" quotePrefix="0" xfId="0"/>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166" fontId="6" fillId="0" borderId="0" applyAlignment="1" pivotButton="0" quotePrefix="0" xfId="0">
      <alignment horizontal="center" vertical="center" wrapText="1"/>
    </xf>
    <xf numFmtId="166" fontId="6" fillId="7" borderId="1" applyAlignment="1" pivotButton="0" quotePrefix="0" xfId="0">
      <alignment horizontal="center" vertical="center" wrapText="1"/>
    </xf>
    <xf numFmtId="166" fontId="6" fillId="3" borderId="1" pivotButton="0" quotePrefix="0" xfId="0"/>
    <xf numFmtId="166" fontId="6" fillId="0" borderId="1" pivotButton="0" quotePrefix="0" xfId="0"/>
    <xf numFmtId="0" fontId="7" fillId="7" borderId="1" pivotButton="0" quotePrefix="0" xfId="0"/>
    <xf numFmtId="0" fontId="11" fillId="0" borderId="0" pivotButton="0" quotePrefix="0" xfId="0"/>
    <xf numFmtId="0" fontId="12" fillId="0" borderId="15" pivotButton="0" quotePrefix="0" xfId="0"/>
    <xf numFmtId="0" fontId="6" fillId="0" borderId="16" pivotButton="0" quotePrefix="0" xfId="0"/>
    <xf numFmtId="167" fontId="6" fillId="0" borderId="17" pivotButton="0" quotePrefix="0" xfId="0"/>
    <xf numFmtId="0" fontId="12" fillId="0" borderId="7" pivotButton="0" quotePrefix="0" xfId="0"/>
    <xf numFmtId="167" fontId="6" fillId="0" borderId="10" applyProtection="1" pivotButton="0" quotePrefix="0" xfId="0">
      <protection locked="0" hidden="0"/>
    </xf>
    <xf numFmtId="0" fontId="6" fillId="0" borderId="7" applyAlignment="1" pivotButton="0" quotePrefix="0" xfId="0">
      <alignment horizontal="left" indent="1"/>
    </xf>
    <xf numFmtId="0" fontId="13" fillId="0" borderId="8" applyAlignment="1" pivotButton="0" quotePrefix="0" xfId="0">
      <alignment horizontal="left"/>
    </xf>
    <xf numFmtId="0" fontId="6" fillId="0" borderId="14" pivotButton="0" quotePrefix="0" xfId="0"/>
    <xf numFmtId="167" fontId="6" fillId="0" borderId="18" applyProtection="1" pivotButton="0" quotePrefix="0" xfId="0">
      <protection locked="0" hidden="0"/>
    </xf>
    <xf numFmtId="0" fontId="12" fillId="0" borderId="0" pivotButton="0" quotePrefix="0" xfId="0"/>
    <xf numFmtId="167" fontId="6" fillId="0" borderId="0" pivotButton="0" quotePrefix="0" xfId="0"/>
    <xf numFmtId="168" fontId="6" fillId="9" borderId="1" applyProtection="1" pivotButton="0" quotePrefix="0" xfId="42">
      <protection locked="0" hidden="0"/>
    </xf>
    <xf numFmtId="168" fontId="6" fillId="0" borderId="0" pivotButton="0" quotePrefix="0" xfId="42"/>
    <xf numFmtId="168" fontId="12" fillId="0" borderId="2" pivotButton="0" quotePrefix="0" xfId="42"/>
    <xf numFmtId="0" fontId="14" fillId="0" borderId="0" pivotButton="0" quotePrefix="0" xfId="0"/>
    <xf numFmtId="167" fontId="13" fillId="0" borderId="0" applyAlignment="1" pivotButton="0" quotePrefix="0" xfId="0">
      <alignment horizontal="left"/>
    </xf>
    <xf numFmtId="168" fontId="12" fillId="0" borderId="1" pivotButton="0" quotePrefix="0" xfId="42"/>
    <xf numFmtId="0" fontId="5" fillId="0" borderId="0" applyAlignment="1" pivotButton="0" quotePrefix="0" xfId="0">
      <alignment vertical="top"/>
    </xf>
    <xf numFmtId="0" fontId="5" fillId="0" borderId="0" applyAlignment="1" pivotButton="0" quotePrefix="0" xfId="0">
      <alignment horizontal="right" vertical="top"/>
    </xf>
    <xf numFmtId="168" fontId="6" fillId="0" borderId="0" pivotButton="0" quotePrefix="0" xfId="42"/>
    <xf numFmtId="168" fontId="5" fillId="0" borderId="2" pivotButton="0" quotePrefix="0" xfId="42"/>
    <xf numFmtId="0" fontId="15" fillId="0" borderId="0" pivotButton="0" quotePrefix="0" xfId="0"/>
    <xf numFmtId="168" fontId="6" fillId="0" borderId="0" pivotButton="0" quotePrefix="0" xfId="42"/>
    <xf numFmtId="3" fontId="6" fillId="0" borderId="0" pivotButton="0" quotePrefix="0" xfId="0"/>
    <xf numFmtId="0" fontId="5" fillId="0" borderId="0" applyAlignment="1" pivotButton="0" quotePrefix="0" xfId="0">
      <alignment horizontal="left" wrapText="1"/>
    </xf>
    <xf numFmtId="9" fontId="6" fillId="0" borderId="0" pivotButton="0" quotePrefix="0" xfId="41"/>
    <xf numFmtId="0" fontId="6" fillId="0" borderId="0" applyAlignment="1" pivotButton="0" quotePrefix="0" xfId="0">
      <alignment horizontal="left" wrapText="1"/>
    </xf>
    <xf numFmtId="168" fontId="12" fillId="0" borderId="0" pivotButton="0" quotePrefix="0" xfId="42"/>
    <xf numFmtId="0" fontId="12" fillId="6" borderId="0" pivotButton="0" quotePrefix="0" xfId="0"/>
    <xf numFmtId="169" fontId="5" fillId="6" borderId="0" pivotButton="0" quotePrefix="0" xfId="41"/>
    <xf numFmtId="0" fontId="14" fillId="0" borderId="0" applyAlignment="1" pivotButton="0" quotePrefix="0" xfId="0">
      <alignment horizontal="right"/>
    </xf>
    <xf numFmtId="168" fontId="14" fillId="0" borderId="0" applyAlignment="1" pivotButton="0" quotePrefix="0" xfId="42">
      <alignment horizontal="left"/>
    </xf>
    <xf numFmtId="0" fontId="5" fillId="6" borderId="0" pivotButton="0" quotePrefix="0" xfId="0"/>
    <xf numFmtId="0" fontId="15" fillId="6" borderId="0" pivotButton="0" quotePrefix="0" xfId="0"/>
    <xf numFmtId="167" fontId="5" fillId="6" borderId="0" pivotButton="0" quotePrefix="0" xfId="0"/>
    <xf numFmtId="168" fontId="12" fillId="6" borderId="2" pivotButton="0" quotePrefix="0" xfId="42"/>
    <xf numFmtId="0" fontId="16" fillId="6" borderId="0" pivotButton="0" quotePrefix="0" xfId="0"/>
    <xf numFmtId="168" fontId="5" fillId="6" borderId="0" pivotButton="0" quotePrefix="0" xfId="42"/>
    <xf numFmtId="0" fontId="6" fillId="0" borderId="0" pivotButton="0" quotePrefix="1" xfId="0"/>
    <xf numFmtId="0" fontId="12" fillId="0" borderId="0" applyAlignment="1" pivotButton="0" quotePrefix="0" xfId="0">
      <alignment horizontal="left" wrapText="1"/>
    </xf>
    <xf numFmtId="9" fontId="5" fillId="0" borderId="0" pivotButton="0" quotePrefix="0" xfId="41"/>
    <xf numFmtId="0" fontId="12" fillId="7" borderId="0" pivotButton="0" quotePrefix="0" xfId="0"/>
    <xf numFmtId="0" fontId="6" fillId="7" borderId="0" pivotButton="0" quotePrefix="0" xfId="0"/>
    <xf numFmtId="168" fontId="12" fillId="7" borderId="2" pivotButton="0" quotePrefix="0" xfId="42"/>
    <xf numFmtId="0" fontId="13" fillId="0" borderId="0" pivotButton="0" quotePrefix="0" xfId="0"/>
    <xf numFmtId="0" fontId="17" fillId="0" borderId="0" applyAlignment="1" pivotButton="0" quotePrefix="0" xfId="0">
      <alignment horizontal="left" vertical="center"/>
    </xf>
    <xf numFmtId="0" fontId="18" fillId="0" borderId="0" pivotButton="0" quotePrefix="0" xfId="0"/>
    <xf numFmtId="0" fontId="6" fillId="0" borderId="0" applyAlignment="1" pivotButton="0" quotePrefix="0" xfId="0">
      <alignment vertical="center"/>
    </xf>
    <xf numFmtId="0" fontId="6" fillId="0" borderId="0" applyAlignment="1" pivotButton="0" quotePrefix="0" xfId="0">
      <alignment vertical="center" wrapText="1"/>
    </xf>
    <xf numFmtId="0" fontId="8" fillId="0" borderId="0" applyAlignment="1" pivotButton="0" quotePrefix="0" xfId="0">
      <alignment vertical="center"/>
    </xf>
    <xf numFmtId="164" fontId="6" fillId="0" borderId="0" applyAlignment="1" pivotButton="0" quotePrefix="0" xfId="0">
      <alignment vertical="center"/>
    </xf>
    <xf numFmtId="0" fontId="6" fillId="3" borderId="0" applyAlignment="1" pivotButton="0" quotePrefix="0" xfId="0">
      <alignment vertical="center"/>
    </xf>
    <xf numFmtId="0" fontId="7" fillId="0" borderId="0" applyAlignment="1" pivotButton="0" quotePrefix="0" xfId="0">
      <alignment vertical="center"/>
    </xf>
    <xf numFmtId="9" fontId="6" fillId="3" borderId="14" applyAlignment="1" pivotButton="0" quotePrefix="0" xfId="0">
      <alignment vertical="center"/>
    </xf>
    <xf numFmtId="0" fontId="7" fillId="3" borderId="0" applyAlignment="1" pivotButton="0" quotePrefix="0" xfId="0">
      <alignment vertical="center"/>
    </xf>
    <xf numFmtId="0" fontId="7" fillId="0" borderId="0" applyAlignment="1" pivotButton="0" quotePrefix="0" xfId="0">
      <alignment vertical="center" wrapText="1"/>
    </xf>
    <xf numFmtId="9" fontId="6" fillId="0" borderId="0" applyAlignment="1" pivotButton="0" quotePrefix="0" xfId="0">
      <alignment vertical="center"/>
    </xf>
    <xf numFmtId="9" fontId="7" fillId="3" borderId="0" applyAlignment="1" pivotButton="0" quotePrefix="0" xfId="0">
      <alignment vertical="center"/>
    </xf>
    <xf numFmtId="1" fontId="8" fillId="0" borderId="0" pivotButton="0" quotePrefix="0" xfId="0"/>
    <xf numFmtId="1" fontId="7" fillId="0" borderId="0" pivotButton="0" quotePrefix="0" xfId="0"/>
    <xf numFmtId="1" fontId="6" fillId="0" borderId="0" pivotButton="0" quotePrefix="0" xfId="0"/>
    <xf numFmtId="166" fontId="6" fillId="0" borderId="0" applyAlignment="1" pivotButton="0" quotePrefix="0" xfId="0">
      <alignment horizontal="center"/>
    </xf>
    <xf numFmtId="164" fontId="6" fillId="0" borderId="0" applyAlignment="1" pivotButton="0" quotePrefix="0" xfId="0">
      <alignment horizontal="center"/>
    </xf>
    <xf numFmtId="0" fontId="7" fillId="0" borderId="0" applyAlignment="1" pivotButton="0" quotePrefix="0" xfId="0">
      <alignment horizontal="left" vertical="center"/>
    </xf>
    <xf numFmtId="0" fontId="6" fillId="0" borderId="0" applyAlignment="1" pivotButton="0" quotePrefix="0" xfId="0">
      <alignment horizontal="left"/>
    </xf>
    <xf numFmtId="1" fontId="7" fillId="7" borderId="1" pivotButton="0" quotePrefix="0" xfId="0"/>
    <xf numFmtId="0" fontId="7" fillId="0" borderId="1" pivotButton="0" quotePrefix="0" xfId="0"/>
    <xf numFmtId="1" fontId="7" fillId="0" borderId="1" pivotButton="0" quotePrefix="0" xfId="0"/>
    <xf numFmtId="0" fontId="19" fillId="0" borderId="0" pivotButton="0" quotePrefix="0" xfId="0"/>
    <xf numFmtId="0" fontId="21" fillId="0" borderId="0" pivotButton="0" quotePrefix="0" xfId="0"/>
    <xf numFmtId="0" fontId="6" fillId="3" borderId="1" applyAlignment="1" pivotButton="0" quotePrefix="0" xfId="0">
      <alignment horizontal="left"/>
    </xf>
    <xf numFmtId="168" fontId="12" fillId="0" borderId="21" pivotButton="0" quotePrefix="0" xfId="42"/>
    <xf numFmtId="168" fontId="12" fillId="0" borderId="22" pivotButton="0" quotePrefix="0" xfId="42"/>
    <xf numFmtId="168" fontId="6" fillId="0" borderId="23" pivotButton="0" quotePrefix="0" xfId="42"/>
    <xf numFmtId="168" fontId="6" fillId="4" borderId="23" applyProtection="1" pivotButton="0" quotePrefix="0" xfId="42">
      <protection locked="0" hidden="0"/>
    </xf>
    <xf numFmtId="168" fontId="6" fillId="5" borderId="23" applyProtection="1" pivotButton="0" quotePrefix="0" xfId="42">
      <protection locked="0" hidden="0"/>
    </xf>
    <xf numFmtId="168" fontId="6" fillId="5" borderId="24" applyProtection="1" pivotButton="0" quotePrefix="0" xfId="42">
      <protection locked="0" hidden="0"/>
    </xf>
    <xf numFmtId="170" fontId="6" fillId="3" borderId="0" applyAlignment="1" pivotButton="0" quotePrefix="0" xfId="0">
      <alignment vertical="center"/>
    </xf>
    <xf numFmtId="170" fontId="6" fillId="0" borderId="0" applyAlignment="1" pivotButton="0" quotePrefix="0" xfId="0">
      <alignment vertical="center"/>
    </xf>
    <xf numFmtId="170" fontId="6" fillId="0" borderId="14" applyAlignment="1" pivotButton="0" quotePrefix="0" xfId="0">
      <alignment vertical="center"/>
    </xf>
    <xf numFmtId="0" fontId="22" fillId="0" borderId="0" pivotButton="0" quotePrefix="0" xfId="0"/>
    <xf numFmtId="0" fontId="24" fillId="0" borderId="0" applyAlignment="1" pivotButton="0" quotePrefix="0" xfId="0">
      <alignment vertical="top"/>
    </xf>
    <xf numFmtId="0" fontId="24" fillId="0" borderId="0" applyAlignment="1" pivotButton="0" quotePrefix="0" xfId="0">
      <alignment horizontal="right" vertical="top"/>
    </xf>
    <xf numFmtId="9" fontId="6" fillId="0" borderId="25" pivotButton="0" quotePrefix="0" xfId="41"/>
    <xf numFmtId="168" fontId="0" fillId="0" borderId="23" pivotButton="0" quotePrefix="0" xfId="42"/>
    <xf numFmtId="168" fontId="0" fillId="0" borderId="27" pivotButton="0" quotePrefix="0" xfId="42"/>
    <xf numFmtId="168" fontId="0" fillId="0" borderId="26" pivotButton="0" quotePrefix="0" xfId="42"/>
    <xf numFmtId="9" fontId="4" fillId="6" borderId="19" pivotButton="0" quotePrefix="0" xfId="41"/>
    <xf numFmtId="0" fontId="26" fillId="6" borderId="0" pivotButton="0" quotePrefix="0" xfId="0"/>
    <xf numFmtId="0" fontId="0" fillId="6" borderId="0" pivotButton="0" quotePrefix="0" xfId="0"/>
    <xf numFmtId="167" fontId="0" fillId="6" borderId="0" pivotButton="0" quotePrefix="0" xfId="0"/>
    <xf numFmtId="0" fontId="0" fillId="6" borderId="0" applyAlignment="1" pivotButton="0" quotePrefix="0" xfId="0">
      <alignment wrapText="1"/>
    </xf>
    <xf numFmtId="168" fontId="4" fillId="6" borderId="1" pivotButton="0" quotePrefix="0" xfId="42"/>
    <xf numFmtId="168" fontId="23" fillId="6" borderId="2" pivotButton="0" quotePrefix="0" xfId="42"/>
    <xf numFmtId="9" fontId="0" fillId="8" borderId="19" applyProtection="1" pivotButton="0" quotePrefix="0" xfId="41">
      <protection locked="0" hidden="0"/>
    </xf>
    <xf numFmtId="0" fontId="28" fillId="0" borderId="0" pivotButton="0" quotePrefix="0" xfId="0"/>
    <xf numFmtId="168" fontId="4" fillId="8" borderId="1" applyProtection="1" pivotButton="0" quotePrefix="0" xfId="42">
      <protection locked="0" hidden="0"/>
    </xf>
    <xf numFmtId="167" fontId="27" fillId="0" borderId="0" applyAlignment="1" pivotButton="0" quotePrefix="0" xfId="0">
      <alignment horizontal="center"/>
    </xf>
    <xf numFmtId="171" fontId="25" fillId="0" borderId="0" applyAlignment="1" pivotButton="0" quotePrefix="0" xfId="0">
      <alignment horizontal="center"/>
    </xf>
    <xf numFmtId="170" fontId="20" fillId="0" borderId="0" applyAlignment="1" pivotButton="0" quotePrefix="0" xfId="0">
      <alignment vertical="center"/>
    </xf>
    <xf numFmtId="0" fontId="7" fillId="0" borderId="15" applyAlignment="1" pivotButton="0" quotePrefix="0" xfId="0">
      <alignment vertical="center"/>
    </xf>
    <xf numFmtId="170" fontId="20" fillId="0" borderId="16" applyAlignment="1" pivotButton="0" quotePrefix="0" xfId="0">
      <alignment vertical="center"/>
    </xf>
    <xf numFmtId="0" fontId="6" fillId="0" borderId="16" applyAlignment="1" pivotButton="0" quotePrefix="0" xfId="0">
      <alignment vertical="center"/>
    </xf>
    <xf numFmtId="0" fontId="6" fillId="0" borderId="17" applyAlignment="1" pivotButton="0" quotePrefix="0" xfId="0">
      <alignment vertical="center" wrapText="1"/>
    </xf>
    <xf numFmtId="0" fontId="6" fillId="0" borderId="8" applyAlignment="1" pivotButton="0" quotePrefix="0" xfId="0">
      <alignment vertical="center"/>
    </xf>
    <xf numFmtId="0" fontId="6" fillId="0" borderId="18" applyAlignment="1" pivotButton="0" quotePrefix="0" xfId="0">
      <alignment vertical="center" wrapText="1"/>
    </xf>
    <xf numFmtId="172" fontId="6" fillId="10" borderId="1" applyAlignment="1" pivotButton="0" quotePrefix="0" xfId="0">
      <alignment horizontal="center"/>
    </xf>
    <xf numFmtId="0" fontId="6" fillId="10" borderId="1" pivotButton="0" quotePrefix="0" xfId="0"/>
    <xf numFmtId="49" fontId="31" fillId="13" borderId="2" applyAlignment="1" pivotButton="0" quotePrefix="0" xfId="0">
      <alignment horizontal="center"/>
    </xf>
    <xf numFmtId="0" fontId="34" fillId="0" borderId="1" applyAlignment="1" pivotButton="0" quotePrefix="0" xfId="0">
      <alignment horizontal="center" vertical="center" wrapText="1"/>
    </xf>
    <xf numFmtId="0" fontId="35" fillId="0" borderId="0" applyAlignment="1" pivotButton="0" quotePrefix="0" xfId="0">
      <alignment horizontal="center" wrapText="1"/>
    </xf>
    <xf numFmtId="0" fontId="6" fillId="0" borderId="0" applyAlignment="1" pivotButton="0" quotePrefix="0" xfId="0">
      <alignment wrapText="1"/>
    </xf>
    <xf numFmtId="0" fontId="35" fillId="0" borderId="0" pivotButton="0" quotePrefix="0" xfId="0"/>
    <xf numFmtId="0" fontId="45" fillId="0" borderId="0" pivotButton="0" quotePrefix="0" xfId="0"/>
    <xf numFmtId="0" fontId="46" fillId="0" borderId="0" applyAlignment="1" pivotButton="0" quotePrefix="0" xfId="0">
      <alignment wrapText="1"/>
    </xf>
    <xf numFmtId="0" fontId="46" fillId="0" borderId="0" pivotButton="0" quotePrefix="0" xfId="0"/>
    <xf numFmtId="49" fontId="31" fillId="3" borderId="1" applyAlignment="1" pivotButton="0" quotePrefix="0" xfId="0">
      <alignment horizontal="center"/>
    </xf>
    <xf numFmtId="2" fontId="31" fillId="0" borderId="1" applyAlignment="1" pivotButton="0" quotePrefix="0" xfId="0">
      <alignment horizontal="center"/>
    </xf>
    <xf numFmtId="2" fontId="30" fillId="0" borderId="1" applyAlignment="1" pivotButton="0" quotePrefix="0" xfId="0">
      <alignment horizontal="center"/>
    </xf>
    <xf numFmtId="2" fontId="30" fillId="13" borderId="2" applyAlignment="1" pivotButton="0" quotePrefix="0" xfId="0">
      <alignment horizontal="center"/>
    </xf>
    <xf numFmtId="2" fontId="0" fillId="0" borderId="0" pivotButton="0" quotePrefix="0" xfId="0"/>
    <xf numFmtId="172" fontId="6" fillId="3" borderId="1" applyAlignment="1" pivotButton="0" quotePrefix="0" xfId="0">
      <alignment horizontal="center"/>
    </xf>
    <xf numFmtId="172" fontId="6" fillId="14" borderId="1" applyAlignment="1" pivotButton="0" quotePrefix="0" xfId="0">
      <alignment horizontal="center" vertical="center" wrapText="1"/>
    </xf>
    <xf numFmtId="0" fontId="49" fillId="0" borderId="0" applyAlignment="1" pivotButton="0" quotePrefix="0" xfId="0">
      <alignment vertical="top"/>
    </xf>
    <xf numFmtId="0" fontId="52" fillId="0" borderId="1" applyAlignment="1" pivotButton="0" quotePrefix="0" xfId="0">
      <alignment horizontal="center" vertical="center" wrapText="1"/>
    </xf>
    <xf numFmtId="0" fontId="53" fillId="0" borderId="0" applyAlignment="1" pivotButton="0" quotePrefix="1" xfId="0">
      <alignment horizontal="right" vertical="center"/>
    </xf>
    <xf numFmtId="0" fontId="54" fillId="0" borderId="0" pivotButton="0" quotePrefix="0" xfId="0"/>
    <xf numFmtId="169" fontId="0" fillId="0" borderId="19" pivotButton="0" quotePrefix="0" xfId="41"/>
    <xf numFmtId="173" fontId="6" fillId="0" borderId="1" pivotButton="0" quotePrefix="0" xfId="0"/>
    <xf numFmtId="173" fontId="10" fillId="2" borderId="1" pivotButton="0" quotePrefix="0" xfId="0"/>
    <xf numFmtId="174" fontId="6" fillId="0" borderId="6" pivotButton="0" quotePrefix="0" xfId="0"/>
    <xf numFmtId="174" fontId="6" fillId="0" borderId="1" pivotButton="0" quotePrefix="0" xfId="0"/>
    <xf numFmtId="174" fontId="10" fillId="2" borderId="1" pivotButton="0" quotePrefix="0" xfId="0"/>
    <xf numFmtId="0" fontId="6" fillId="3" borderId="1" applyAlignment="1" pivotButton="0" quotePrefix="0" xfId="0">
      <alignment wrapText="1"/>
    </xf>
    <xf numFmtId="173" fontId="6" fillId="0" borderId="6" pivotButton="0" quotePrefix="0" xfId="0"/>
    <xf numFmtId="173" fontId="6" fillId="3" borderId="6" pivotButton="0" quotePrefix="0" xfId="0"/>
    <xf numFmtId="173" fontId="6" fillId="3" borderId="1" pivotButton="0" quotePrefix="0" xfId="0"/>
    <xf numFmtId="0" fontId="35" fillId="0" borderId="0" applyAlignment="1" pivotButton="0" quotePrefix="0" xfId="0">
      <alignment wrapText="1"/>
    </xf>
    <xf numFmtId="166" fontId="34" fillId="0" borderId="1" applyAlignment="1" pivotButton="0" quotePrefix="0" xfId="0">
      <alignment horizontal="center" vertical="center" wrapText="1"/>
    </xf>
    <xf numFmtId="9" fontId="6" fillId="3" borderId="1" pivotButton="0" quotePrefix="0" xfId="0"/>
    <xf numFmtId="173" fontId="6" fillId="3" borderId="6" applyAlignment="1" pivotButton="0" quotePrefix="0" xfId="0">
      <alignment horizontal="center"/>
    </xf>
    <xf numFmtId="173" fontId="6" fillId="3" borderId="1" applyAlignment="1" pivotButton="0" quotePrefix="0" xfId="0">
      <alignment horizontal="center"/>
    </xf>
    <xf numFmtId="173" fontId="6" fillId="10" borderId="6" applyAlignment="1" pivotButton="0" quotePrefix="0" xfId="0">
      <alignment horizontal="center"/>
    </xf>
    <xf numFmtId="0" fontId="41" fillId="0" borderId="0" applyAlignment="1" pivotButton="0" quotePrefix="0" xfId="0">
      <alignment horizontal="center"/>
    </xf>
    <xf numFmtId="173" fontId="6" fillId="15" borderId="1" pivotButton="0" quotePrefix="0" xfId="0"/>
    <xf numFmtId="0" fontId="6" fillId="15" borderId="0" applyAlignment="1" pivotButton="0" quotePrefix="0" xfId="0">
      <alignment vertical="center" wrapText="1"/>
    </xf>
    <xf numFmtId="0" fontId="7" fillId="0" borderId="3" applyAlignment="1" pivotButton="0" quotePrefix="0" xfId="0">
      <alignment horizontal="center" vertical="center"/>
    </xf>
    <xf numFmtId="0" fontId="6" fillId="0" borderId="4" applyAlignment="1" pivotButton="0" quotePrefix="0" xfId="0">
      <alignment vertical="center"/>
    </xf>
    <xf numFmtId="0" fontId="6" fillId="0" borderId="9" applyAlignment="1" pivotButton="0" quotePrefix="0" xfId="0">
      <alignment horizontal="center" vertical="center" wrapText="1"/>
    </xf>
    <xf numFmtId="0" fontId="7" fillId="0" borderId="5" applyAlignment="1" pivotButton="0" quotePrefix="0" xfId="0">
      <alignment horizontal="center" vertical="center" wrapText="1"/>
    </xf>
    <xf numFmtId="0" fontId="6" fillId="0" borderId="26" applyAlignment="1" pivotButton="0" quotePrefix="0" xfId="0">
      <alignment horizontal="center" vertical="center" wrapText="1"/>
    </xf>
    <xf numFmtId="9" fontId="6" fillId="0" borderId="23" pivotButton="0" quotePrefix="0" xfId="0"/>
    <xf numFmtId="9" fontId="6" fillId="0" borderId="27" pivotButton="0" quotePrefix="0" xfId="0"/>
    <xf numFmtId="0" fontId="9" fillId="0" borderId="0" applyAlignment="1" pivotButton="0" quotePrefix="0" xfId="0">
      <alignment horizontal="center" vertical="center"/>
    </xf>
    <xf numFmtId="49" fontId="31" fillId="3" borderId="29" applyAlignment="1" pivotButton="0" quotePrefix="0" xfId="0">
      <alignment horizontal="center"/>
    </xf>
    <xf numFmtId="2" fontId="31" fillId="0" borderId="29" applyAlignment="1" pivotButton="0" quotePrefix="0" xfId="0">
      <alignment horizontal="center"/>
    </xf>
    <xf numFmtId="2" fontId="30" fillId="0" borderId="29" applyAlignment="1" pivotButton="0" quotePrefix="0" xfId="0">
      <alignment horizontal="center"/>
    </xf>
    <xf numFmtId="0" fontId="31" fillId="0" borderId="36" applyAlignment="1" pivotButton="0" quotePrefix="0" xfId="0">
      <alignment horizontal="center"/>
    </xf>
    <xf numFmtId="2" fontId="31" fillId="3" borderId="28" applyAlignment="1" pivotButton="0" quotePrefix="0" xfId="0">
      <alignment horizontal="center"/>
    </xf>
    <xf numFmtId="2" fontId="31" fillId="3" borderId="31" applyAlignment="1" pivotButton="0" quotePrefix="0" xfId="0">
      <alignment horizontal="center"/>
    </xf>
    <xf numFmtId="49" fontId="31" fillId="11" borderId="41" applyAlignment="1" pivotButton="0" quotePrefix="0" xfId="0">
      <alignment horizontal="center"/>
    </xf>
    <xf numFmtId="2" fontId="51" fillId="3" borderId="42" applyAlignment="1" pivotButton="0" quotePrefix="0" xfId="0">
      <alignment horizontal="center"/>
    </xf>
    <xf numFmtId="2" fontId="31" fillId="3" borderId="33" applyAlignment="1" pivotButton="0" quotePrefix="0" xfId="0">
      <alignment horizontal="center"/>
    </xf>
    <xf numFmtId="49" fontId="31" fillId="3" borderId="34" applyAlignment="1" pivotButton="0" quotePrefix="0" xfId="0">
      <alignment horizontal="center"/>
    </xf>
    <xf numFmtId="2" fontId="31" fillId="0" borderId="34" applyAlignment="1" pivotButton="0" quotePrefix="0" xfId="0">
      <alignment horizontal="center"/>
    </xf>
    <xf numFmtId="2" fontId="30" fillId="0" borderId="34" applyAlignment="1" pivotButton="0" quotePrefix="0" xfId="0">
      <alignment horizontal="center"/>
    </xf>
    <xf numFmtId="49" fontId="31" fillId="13" borderId="22" applyAlignment="1" pivotButton="0" quotePrefix="0" xfId="0">
      <alignment horizontal="center"/>
    </xf>
    <xf numFmtId="0" fontId="0" fillId="10" borderId="0" pivotButton="0" quotePrefix="0" xfId="0"/>
    <xf numFmtId="2" fontId="0" fillId="10" borderId="0" pivotButton="0" quotePrefix="0" xfId="0"/>
    <xf numFmtId="0" fontId="30" fillId="10" borderId="0" pivotButton="0" quotePrefix="0" xfId="0"/>
    <xf numFmtId="2" fontId="30" fillId="10" borderId="0" pivotButton="0" quotePrefix="0" xfId="0"/>
    <xf numFmtId="0" fontId="50" fillId="10" borderId="0" pivotButton="0" quotePrefix="0" xfId="0"/>
    <xf numFmtId="0" fontId="43" fillId="10" borderId="0" pivotButton="0" quotePrefix="0" xfId="0"/>
    <xf numFmtId="0" fontId="51" fillId="10" borderId="0" pivotButton="0" quotePrefix="0" xfId="0"/>
    <xf numFmtId="0" fontId="56" fillId="10" borderId="0" pivotButton="0" quotePrefix="1" xfId="0"/>
    <xf numFmtId="0" fontId="48" fillId="0" borderId="38" applyAlignment="1" pivotButton="0" quotePrefix="0" xfId="0">
      <alignment horizontal="center" vertical="center" wrapText="1" shrinkToFit="1"/>
    </xf>
    <xf numFmtId="0" fontId="48" fillId="0" borderId="39" applyAlignment="1" pivotButton="0" quotePrefix="0" xfId="0">
      <alignment horizontal="center" vertical="center" wrapText="1" shrinkToFit="1"/>
    </xf>
    <xf numFmtId="0" fontId="48" fillId="0" borderId="40" applyAlignment="1" pivotButton="0" quotePrefix="0" xfId="0">
      <alignment horizontal="center" vertical="center" wrapText="1" shrinkToFit="1"/>
    </xf>
    <xf numFmtId="173" fontId="6" fillId="0" borderId="0" applyAlignment="1" pivotButton="0" quotePrefix="0" xfId="0">
      <alignment horizontal="center" wrapText="1"/>
    </xf>
    <xf numFmtId="173" fontId="6" fillId="0" borderId="0" applyAlignment="1" pivotButton="0" quotePrefix="1" xfId="0">
      <alignment horizontal="center" wrapText="1"/>
    </xf>
    <xf numFmtId="173" fontId="4" fillId="6" borderId="0" applyAlignment="1" pivotButton="0" quotePrefix="0" xfId="0">
      <alignment horizontal="center" wrapText="1"/>
    </xf>
    <xf numFmtId="164" fontId="4" fillId="6" borderId="0" applyAlignment="1" pivotButton="0" quotePrefix="0" xfId="0">
      <alignment horizontal="center" wrapText="1"/>
    </xf>
    <xf numFmtId="168" fontId="4" fillId="6" borderId="0" pivotButton="0" quotePrefix="0" xfId="42"/>
    <xf numFmtId="168" fontId="5" fillId="6" borderId="0" applyAlignment="1" pivotButton="0" quotePrefix="0" xfId="42">
      <alignment horizontal="right"/>
    </xf>
    <xf numFmtId="173" fontId="30" fillId="0" borderId="30" applyAlignment="1" pivotButton="0" quotePrefix="1" xfId="0">
      <alignment horizontal="center"/>
    </xf>
    <xf numFmtId="173" fontId="30" fillId="0" borderId="32" applyAlignment="1" pivotButton="0" quotePrefix="1" xfId="0">
      <alignment horizontal="center"/>
    </xf>
    <xf numFmtId="173" fontId="30" fillId="0" borderId="35" applyAlignment="1" pivotButton="0" quotePrefix="1" xfId="0">
      <alignment horizontal="center"/>
    </xf>
    <xf numFmtId="0" fontId="6" fillId="8" borderId="0" pivotButton="0" quotePrefix="0" xfId="0"/>
    <xf numFmtId="167" fontId="6" fillId="8" borderId="0" pivotButton="0" quotePrefix="0" xfId="0"/>
    <xf numFmtId="0" fontId="1" fillId="8" borderId="0" pivotButton="0" quotePrefix="0" xfId="55"/>
    <xf numFmtId="2" fontId="51" fillId="3" borderId="2" applyAlignment="1" pivotButton="0" quotePrefix="0" xfId="0">
      <alignment horizontal="center"/>
    </xf>
    <xf numFmtId="0" fontId="42" fillId="8" borderId="19" applyProtection="1" pivotButton="0" quotePrefix="0" xfId="0">
      <protection locked="0" hidden="0"/>
    </xf>
    <xf numFmtId="0" fontId="30" fillId="12" borderId="37" applyAlignment="1" pivotButton="0" quotePrefix="0" xfId="0">
      <alignment horizontal="center"/>
    </xf>
    <xf numFmtId="0" fontId="30" fillId="12" borderId="43" applyAlignment="1" pivotButton="0" quotePrefix="0" xfId="0">
      <alignment horizontal="center"/>
    </xf>
    <xf numFmtId="0" fontId="30" fillId="12" borderId="44" applyAlignment="1" pivotButton="0" quotePrefix="0" xfId="0">
      <alignment horizontal="center"/>
    </xf>
    <xf numFmtId="0" fontId="35" fillId="0" borderId="0" applyAlignment="1" pivotButton="0" quotePrefix="0" xfId="0">
      <alignment horizontal="left"/>
    </xf>
    <xf numFmtId="0" fontId="6" fillId="3" borderId="1" applyAlignment="1" applyProtection="1" pivotButton="0" quotePrefix="0" xfId="0">
      <alignment horizontal="center"/>
      <protection locked="0" hidden="0"/>
    </xf>
    <xf numFmtId="0" fontId="58" fillId="10" borderId="0" applyAlignment="1" pivotButton="0" quotePrefix="1" xfId="0">
      <alignment horizontal="left"/>
    </xf>
    <xf numFmtId="175" fontId="6" fillId="0" borderId="0" pivotButton="0" quotePrefix="0" xfId="0"/>
    <xf numFmtId="0" fontId="6" fillId="0" borderId="0" applyAlignment="1" pivotButton="0" quotePrefix="0" xfId="0">
      <alignment horizontal="left" vertical="center" wrapText="1"/>
    </xf>
    <xf numFmtId="0" fontId="0" fillId="0" borderId="0" applyAlignment="1" pivotButton="0" quotePrefix="0" xfId="0">
      <alignment horizontal="left" vertical="center" wrapText="1"/>
    </xf>
    <xf numFmtId="0" fontId="7" fillId="0" borderId="0" applyAlignment="1" pivotButton="0" quotePrefix="0" xfId="0">
      <alignment horizontal="left" vertical="center" wrapText="1"/>
    </xf>
    <xf numFmtId="0" fontId="36" fillId="7" borderId="0" applyAlignment="1" pivotButton="0" quotePrefix="0" xfId="0">
      <alignment horizontal="center"/>
    </xf>
    <xf numFmtId="0" fontId="37" fillId="0" borderId="0" applyAlignment="1" pivotButton="0" quotePrefix="0" xfId="0">
      <alignment horizontal="center"/>
    </xf>
    <xf numFmtId="0" fontId="7" fillId="3" borderId="0" applyAlignment="1" pivotButton="0" quotePrefix="0" xfId="0">
      <alignment horizontal="center"/>
    </xf>
    <xf numFmtId="0" fontId="40" fillId="0" borderId="0" applyAlignment="1" pivotButton="0" quotePrefix="0" xfId="0">
      <alignment horizontal="center"/>
    </xf>
    <xf numFmtId="0" fontId="38" fillId="7" borderId="0" applyAlignment="1" pivotButton="0" quotePrefix="0" xfId="0">
      <alignment vertical="center" wrapText="1" shrinkToFit="1"/>
    </xf>
    <xf numFmtId="0" fontId="40" fillId="7" borderId="0" applyAlignment="1" pivotButton="0" quotePrefix="0" xfId="0">
      <alignment vertical="center" wrapText="1"/>
    </xf>
    <xf numFmtId="0" fontId="39" fillId="7" borderId="0" applyAlignment="1" pivotButton="0" quotePrefix="0" xfId="0">
      <alignment wrapText="1" shrinkToFit="1"/>
    </xf>
    <xf numFmtId="0" fontId="40" fillId="7" borderId="0" applyAlignment="1" pivotButton="0" quotePrefix="0" xfId="0">
      <alignment wrapText="1"/>
    </xf>
    <xf numFmtId="0" fontId="8" fillId="0" borderId="0" applyAlignment="1" pivotButton="0" quotePrefix="0" xfId="0">
      <alignment horizontal="left"/>
    </xf>
    <xf numFmtId="0" fontId="8" fillId="0" borderId="0" applyAlignment="1" pivotButton="0" quotePrefix="0" xfId="0">
      <alignment horizontal="left" wrapText="1"/>
    </xf>
    <xf numFmtId="0" fontId="42" fillId="0" borderId="0" applyAlignment="1" pivotButton="0" quotePrefix="0" xfId="0">
      <alignment vertical="center" wrapText="1"/>
    </xf>
    <xf numFmtId="0" fontId="43" fillId="0" borderId="0" applyAlignment="1" pivotButton="0" quotePrefix="0" xfId="0">
      <alignment vertical="center"/>
    </xf>
    <xf numFmtId="0" fontId="7" fillId="0" borderId="20" applyAlignment="1" pivotButton="0" quotePrefix="0" xfId="0">
      <alignment horizontal="center" vertical="center" textRotation="255"/>
    </xf>
    <xf numFmtId="0" fontId="7" fillId="0" borderId="7" applyAlignment="1" pivotButton="0" quotePrefix="0" xfId="0">
      <alignment horizontal="center" vertical="center" textRotation="255"/>
    </xf>
    <xf numFmtId="0" fontId="29" fillId="0" borderId="0" applyAlignment="1" pivotButton="0" quotePrefix="0" xfId="0">
      <alignment vertical="center" wrapText="1"/>
    </xf>
    <xf numFmtId="0" fontId="30" fillId="12" borderId="41" applyAlignment="1" pivotButton="0" quotePrefix="0" xfId="0">
      <alignment horizontal="center"/>
    </xf>
    <xf numFmtId="0" fontId="30" fillId="12" borderId="45" applyAlignment="1" pivotButton="0" quotePrefix="0" xfId="0">
      <alignment horizontal="center"/>
    </xf>
    <xf numFmtId="0" fontId="30" fillId="12" borderId="46" applyAlignment="1" pivotButton="0" quotePrefix="0" xfId="0">
      <alignment horizontal="center"/>
    </xf>
    <xf numFmtId="0" fontId="30" fillId="12" borderId="37" applyAlignment="1" pivotButton="0" quotePrefix="0" xfId="0">
      <alignment horizontal="center"/>
    </xf>
    <xf numFmtId="0" fontId="30" fillId="12" borderId="43" applyAlignment="1" pivotButton="0" quotePrefix="0" xfId="0">
      <alignment horizontal="center"/>
    </xf>
    <xf numFmtId="0" fontId="30" fillId="12" borderId="44" applyAlignment="1" pivotButton="0" quotePrefix="0" xfId="0">
      <alignment horizontal="center"/>
    </xf>
    <xf numFmtId="0" fontId="9" fillId="0" borderId="11" applyAlignment="1" pivotButton="0" quotePrefix="0" xfId="0">
      <alignment horizontal="center" vertical="center"/>
    </xf>
    <xf numFmtId="0" fontId="9" fillId="0" borderId="12" applyAlignment="1" pivotButton="0" quotePrefix="0" xfId="0">
      <alignment horizontal="center" vertical="center"/>
    </xf>
    <xf numFmtId="0" fontId="9" fillId="0" borderId="13" applyAlignment="1" pivotButton="0" quotePrefix="0" xfId="0">
      <alignment horizontal="center" vertical="center"/>
    </xf>
    <xf numFmtId="0" fontId="8" fillId="0" borderId="16" applyAlignment="1" pivotButton="0" quotePrefix="0" xfId="0">
      <alignment horizontal="left" vertical="center" wrapText="1"/>
    </xf>
    <xf numFmtId="173" fontId="6" fillId="3" borderId="6" applyAlignment="1" pivotButton="0" quotePrefix="0" xfId="0">
      <alignment horizontal="center"/>
    </xf>
    <xf numFmtId="173" fontId="6" fillId="10" borderId="6" applyAlignment="1" pivotButton="0" quotePrefix="0" xfId="0">
      <alignment horizontal="center"/>
    </xf>
    <xf numFmtId="174" fontId="6" fillId="0" borderId="6" pivotButton="0" quotePrefix="0" xfId="0"/>
    <xf numFmtId="174" fontId="6" fillId="0" borderId="1" pivotButton="0" quotePrefix="0" xfId="0"/>
    <xf numFmtId="173" fontId="6" fillId="3" borderId="1" applyAlignment="1" pivotButton="0" quotePrefix="0" xfId="0">
      <alignment horizontal="center"/>
    </xf>
    <xf numFmtId="173" fontId="10" fillId="2" borderId="1" pivotButton="0" quotePrefix="0" xfId="0"/>
    <xf numFmtId="164" fontId="10" fillId="2" borderId="1" pivotButton="0" quotePrefix="0" xfId="0"/>
    <xf numFmtId="174" fontId="10" fillId="2" borderId="1" pivotButton="0" quotePrefix="0" xfId="0"/>
    <xf numFmtId="0" fontId="0" fillId="0" borderId="20" pivotButton="0" quotePrefix="0" xfId="0"/>
    <xf numFmtId="173" fontId="6" fillId="0" borderId="6" pivotButton="0" quotePrefix="0" xfId="0"/>
    <xf numFmtId="173" fontId="6" fillId="3" borderId="6" pivotButton="0" quotePrefix="0" xfId="0"/>
    <xf numFmtId="173" fontId="6" fillId="3" borderId="1" pivotButton="0" quotePrefix="0" xfId="0"/>
    <xf numFmtId="173" fontId="6" fillId="0" borderId="1" pivotButton="0" quotePrefix="0" xfId="0"/>
    <xf numFmtId="173" fontId="6" fillId="15" borderId="1" pivotButton="0" quotePrefix="0" xfId="0"/>
    <xf numFmtId="165" fontId="10" fillId="2" borderId="1" pivotButton="0" quotePrefix="0" xfId="0"/>
    <xf numFmtId="166" fontId="6" fillId="0" borderId="0" pivotButton="0" quotePrefix="0" xfId="0"/>
    <xf numFmtId="166" fontId="34" fillId="0" borderId="1" applyAlignment="1" pivotButton="0" quotePrefix="0" xfId="0">
      <alignment horizontal="center" vertical="center" wrapText="1"/>
    </xf>
    <xf numFmtId="166" fontId="6" fillId="0" borderId="0" applyAlignment="1" pivotButton="0" quotePrefix="0" xfId="0">
      <alignment horizontal="center" vertical="center" wrapText="1"/>
    </xf>
    <xf numFmtId="172" fontId="6" fillId="14" borderId="1" applyAlignment="1" pivotButton="0" quotePrefix="0" xfId="0">
      <alignment horizontal="center" vertical="center" wrapText="1"/>
    </xf>
    <xf numFmtId="166" fontId="6" fillId="7" borderId="1" applyAlignment="1" pivotButton="0" quotePrefix="0" xfId="0">
      <alignment horizontal="center" vertical="center" wrapText="1"/>
    </xf>
    <xf numFmtId="166" fontId="6" fillId="3" borderId="1" pivotButton="0" quotePrefix="0" xfId="0"/>
    <xf numFmtId="166" fontId="6" fillId="0" borderId="1" pivotButton="0" quotePrefix="0" xfId="0"/>
    <xf numFmtId="172" fontId="6" fillId="3" borderId="1" applyAlignment="1" pivotButton="0" quotePrefix="0" xfId="0">
      <alignment horizontal="center"/>
    </xf>
    <xf numFmtId="172" fontId="6" fillId="10" borderId="1" applyAlignment="1" pivotButton="0" quotePrefix="0" xfId="0">
      <alignment horizontal="center"/>
    </xf>
    <xf numFmtId="173" fontId="30" fillId="0" borderId="30" applyAlignment="1" pivotButton="0" quotePrefix="1" xfId="0">
      <alignment horizontal="center"/>
    </xf>
    <xf numFmtId="173" fontId="30" fillId="0" borderId="32" applyAlignment="1" pivotButton="0" quotePrefix="1" xfId="0">
      <alignment horizontal="center"/>
    </xf>
    <xf numFmtId="173" fontId="30" fillId="0" borderId="35" applyAlignment="1" pivotButton="0" quotePrefix="1" xfId="0">
      <alignment horizontal="center"/>
    </xf>
    <xf numFmtId="0" fontId="30" fillId="12" borderId="47" applyAlignment="1" pivotButton="0" quotePrefix="0" xfId="0">
      <alignment horizontal="center"/>
    </xf>
    <xf numFmtId="0" fontId="0" fillId="0" borderId="45" pivotButton="0" quotePrefix="0" xfId="0"/>
    <xf numFmtId="0" fontId="0" fillId="0" borderId="46" pivotButton="0" quotePrefix="0" xfId="0"/>
    <xf numFmtId="0" fontId="30" fillId="12" borderId="31" applyAlignment="1" pivotButton="0" quotePrefix="0" xfId="0">
      <alignment horizontal="center"/>
    </xf>
    <xf numFmtId="0" fontId="0" fillId="0" borderId="43" pivotButton="0" quotePrefix="0" xfId="0"/>
    <xf numFmtId="0" fontId="0" fillId="0" borderId="44" pivotButton="0" quotePrefix="0" xfId="0"/>
    <xf numFmtId="168" fontId="6" fillId="9" borderId="1" applyProtection="1" pivotButton="0" quotePrefix="0" xfId="42">
      <protection locked="0" hidden="0"/>
    </xf>
    <xf numFmtId="168" fontId="6" fillId="0" borderId="0" pivotButton="0" quotePrefix="0" xfId="42"/>
    <xf numFmtId="168" fontId="12" fillId="0" borderId="21" pivotButton="0" quotePrefix="0" xfId="42"/>
    <xf numFmtId="168" fontId="6" fillId="0" borderId="23" pivotButton="0" quotePrefix="0" xfId="42"/>
    <xf numFmtId="168" fontId="6" fillId="4" borderId="23" applyProtection="1" pivotButton="0" quotePrefix="0" xfId="42">
      <protection locked="0" hidden="0"/>
    </xf>
    <xf numFmtId="168" fontId="6" fillId="5" borderId="23" applyProtection="1" pivotButton="0" quotePrefix="0" xfId="42">
      <protection locked="0" hidden="0"/>
    </xf>
    <xf numFmtId="168" fontId="6" fillId="5" borderId="24" applyProtection="1" pivotButton="0" quotePrefix="0" xfId="42">
      <protection locked="0" hidden="0"/>
    </xf>
    <xf numFmtId="168" fontId="12" fillId="0" borderId="22" pivotButton="0" quotePrefix="0" xfId="42"/>
    <xf numFmtId="169" fontId="0" fillId="0" borderId="19" pivotButton="0" quotePrefix="0" xfId="41"/>
    <xf numFmtId="168" fontId="12" fillId="0" borderId="1" pivotButton="0" quotePrefix="0" xfId="42"/>
    <xf numFmtId="171" fontId="25" fillId="0" borderId="0" applyAlignment="1" pivotButton="0" quotePrefix="0" xfId="0">
      <alignment horizontal="center"/>
    </xf>
    <xf numFmtId="168" fontId="5" fillId="0" borderId="2" pivotButton="0" quotePrefix="0" xfId="42"/>
    <xf numFmtId="173" fontId="6" fillId="0" borderId="0" applyAlignment="1" pivotButton="0" quotePrefix="0" xfId="0">
      <alignment horizontal="center" wrapText="1"/>
    </xf>
    <xf numFmtId="168" fontId="0" fillId="0" borderId="26" pivotButton="0" quotePrefix="0" xfId="42"/>
    <xf numFmtId="168" fontId="0" fillId="0" borderId="23" pivotButton="0" quotePrefix="0" xfId="42"/>
    <xf numFmtId="173" fontId="6" fillId="0" borderId="0" applyAlignment="1" pivotButton="0" quotePrefix="1" xfId="0">
      <alignment horizontal="center" wrapText="1"/>
    </xf>
    <xf numFmtId="168" fontId="0" fillId="0" borderId="27" pivotButton="0" quotePrefix="0" xfId="42"/>
    <xf numFmtId="168" fontId="12" fillId="0" borderId="0" pivotButton="0" quotePrefix="0" xfId="42"/>
    <xf numFmtId="169" fontId="5" fillId="6" borderId="0" pivotButton="0" quotePrefix="0" xfId="41"/>
    <xf numFmtId="168" fontId="4" fillId="6" borderId="1" pivotButton="0" quotePrefix="0" xfId="42"/>
    <xf numFmtId="168" fontId="14" fillId="0" borderId="0" applyAlignment="1" pivotButton="0" quotePrefix="0" xfId="42">
      <alignment horizontal="left"/>
    </xf>
    <xf numFmtId="168" fontId="4" fillId="8" borderId="1" applyProtection="1" pivotButton="0" quotePrefix="0" xfId="42">
      <protection locked="0" hidden="0"/>
    </xf>
    <xf numFmtId="168" fontId="23" fillId="6" borderId="2" pivotButton="0" quotePrefix="0" xfId="42"/>
    <xf numFmtId="173" fontId="4" fillId="6" borderId="0" applyAlignment="1" pivotButton="0" quotePrefix="0" xfId="0">
      <alignment horizontal="center" wrapText="1"/>
    </xf>
    <xf numFmtId="168" fontId="5" fillId="6" borderId="0" applyAlignment="1" pivotButton="0" quotePrefix="0" xfId="42">
      <alignment horizontal="right"/>
    </xf>
    <xf numFmtId="168" fontId="5" fillId="6" borderId="0" pivotButton="0" quotePrefix="0" xfId="42"/>
    <xf numFmtId="164" fontId="4" fillId="6" borderId="0" applyAlignment="1" pivotButton="0" quotePrefix="0" xfId="0">
      <alignment horizontal="center" wrapText="1"/>
    </xf>
    <xf numFmtId="168" fontId="12" fillId="6" borderId="2" pivotButton="0" quotePrefix="0" xfId="42"/>
    <xf numFmtId="168" fontId="12" fillId="0" borderId="2" pivotButton="0" quotePrefix="0" xfId="42"/>
    <xf numFmtId="168" fontId="12" fillId="7" borderId="2" pivotButton="0" quotePrefix="0" xfId="42"/>
    <xf numFmtId="175" fontId="6" fillId="0" borderId="0" pivotButton="0" quotePrefix="0" xfId="0"/>
    <xf numFmtId="168" fontId="4" fillId="6" borderId="0" pivotButton="0" quotePrefix="0" xfId="42"/>
    <xf numFmtId="0" fontId="9" fillId="0" borderId="2" applyAlignment="1" pivotButton="0" quotePrefix="0" xfId="0">
      <alignment horizontal="center" vertical="center"/>
    </xf>
    <xf numFmtId="0" fontId="0" fillId="0" borderId="12" pivotButton="0" quotePrefix="0" xfId="0"/>
    <xf numFmtId="0" fontId="0" fillId="0" borderId="13" pivotButton="0" quotePrefix="0" xfId="0"/>
    <xf numFmtId="0" fontId="0" fillId="0" borderId="16" pivotButton="0" quotePrefix="0" xfId="0"/>
    <xf numFmtId="164" fontId="6" fillId="0" borderId="0" applyAlignment="1" pivotButton="0" quotePrefix="0" xfId="0">
      <alignment vertical="center"/>
    </xf>
    <xf numFmtId="170" fontId="6" fillId="0" borderId="0" applyAlignment="1" pivotButton="0" quotePrefix="0" xfId="0">
      <alignment vertical="center"/>
    </xf>
    <xf numFmtId="170" fontId="6" fillId="3" borderId="0" applyAlignment="1" pivotButton="0" quotePrefix="0" xfId="0">
      <alignment vertical="center"/>
    </xf>
    <xf numFmtId="170" fontId="20" fillId="0" borderId="16" applyAlignment="1" pivotButton="0" quotePrefix="0" xfId="0">
      <alignment vertical="center"/>
    </xf>
    <xf numFmtId="170" fontId="6" fillId="0" borderId="14" applyAlignment="1" pivotButton="0" quotePrefix="0" xfId="0">
      <alignment vertical="center"/>
    </xf>
    <xf numFmtId="170" fontId="20" fillId="0" borderId="0" applyAlignment="1" pivotButton="0" quotePrefix="0" xfId="0">
      <alignment vertical="center"/>
    </xf>
    <xf numFmtId="164" fontId="6" fillId="0" borderId="1" pivotButton="0" quotePrefix="0" xfId="0"/>
    <xf numFmtId="166" fontId="6" fillId="0" borderId="0" applyAlignment="1" pivotButton="0" quotePrefix="0" xfId="0">
      <alignment horizontal="center"/>
    </xf>
    <xf numFmtId="164" fontId="6" fillId="0" borderId="0" applyAlignment="1" pivotButton="0" quotePrefix="0" xfId="0">
      <alignment horizontal="center"/>
    </xf>
  </cellXfs>
  <cellStyles count="7">
    <cellStyle name="Normal" xfId="0" builtinId="0"/>
    <cellStyle name="Lien hypertexte" xfId="1" builtinId="8" hidden="1"/>
    <cellStyle name="Lien hypertexte visité" xfId="2" builtinId="9" hidden="1"/>
    <cellStyle name="Pourcentage" xfId="3" builtinId="5"/>
    <cellStyle name="Euro" xfId="4"/>
    <cellStyle name="Comma 2" xfId="5"/>
    <cellStyle name="Normal 3" xfId="6"/>
  </cellStyles>
  <tableStyles count="0" defaultTableStyle="TableStyleMedium9" defaultPivotStyle="PivotStyleMedium4"/>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plotArea>
      <layout/>
      <lineChart>
        <grouping val="standard"/>
        <varyColors val="0"/>
        <ser>
          <idx val="0"/>
          <order val="0"/>
          <spPr>
            <a:ln xmlns:a="http://schemas.openxmlformats.org/drawingml/2006/main">
              <a:prstDash val="solid"/>
            </a:ln>
          </spPr>
          <marker>
            <symbol val="none"/>
            <spPr>
              <a:ln xmlns:a="http://schemas.openxmlformats.org/drawingml/2006/main">
                <a:prstDash val="solid"/>
              </a:ln>
            </spPr>
          </marker>
          <val>
            <numRef>
              <f>'Seuil de rentabilité'!$B$13:$B$50</f>
              <numCache>
                <formatCode>_-* #\ ##0.00\ [$€-1]_-;\-* #\ ##0.00\ [$€-1]_-;_-* "-"??\ [$€-1]_-;_-@_-</formatCode>
                <ptCount val="38"/>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numCache>
            </numRef>
          </val>
          <smooth val="0"/>
        </ser>
        <ser>
          <idx val="1"/>
          <order val="1"/>
          <spPr>
            <a:ln xmlns:a="http://schemas.openxmlformats.org/drawingml/2006/main">
              <a:prstDash val="solid"/>
            </a:ln>
          </spPr>
          <marker>
            <symbol val="none"/>
            <spPr>
              <a:ln xmlns:a="http://schemas.openxmlformats.org/drawingml/2006/main">
                <a:prstDash val="solid"/>
              </a:ln>
            </spPr>
          </marker>
          <val>
            <numRef>
              <f>'Seuil de rentabilité'!$C$13:$C$50</f>
              <numCache>
                <formatCode>#\ ##0\ "€"</formatCode>
                <ptCount val="38"/>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numCache>
            </numRef>
          </val>
          <smooth val="0"/>
        </ser>
        <dLbls>
          <showLegendKey val="0"/>
          <showVal val="0"/>
          <showCatName val="0"/>
          <showSerName val="0"/>
          <showPercent val="0"/>
          <showBubbleSize val="0"/>
        </dLbls>
        <smooth val="0"/>
        <axId val="334112168"/>
        <axId val="150442016"/>
      </lineChart>
      <catAx>
        <axId val="334112168"/>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fr-FR"/>
                  <a:t>Nombre</a:t>
                </a:r>
                <a:r>
                  <a:rPr lang="fr-FR" baseline="0"/>
                  <a:t xml:space="preserve"> de clients</a:t>
                </a:r>
              </a:p>
            </rich>
          </tx>
          <overlay val="0"/>
        </title>
        <majorTickMark val="out"/>
        <minorTickMark val="none"/>
        <tickLblPos val="nextTo"/>
        <crossAx val="150442016"/>
        <crosses val="autoZero"/>
        <auto val="1"/>
        <lblAlgn val="ctr"/>
        <lblOffset val="100"/>
        <noMultiLvlLbl val="0"/>
      </catAx>
      <valAx>
        <axId val="150442016"/>
        <scaling>
          <orientation val="minMax"/>
        </scaling>
        <delete val="0"/>
        <axPos val="l"/>
        <majorGridlines/>
        <numFmt formatCode="_-* #\ ##0.00\ [$€-1]_-;\-* #\ ##0.00\ [$€-1]_-;_-* &quot;-&quot;??\ [$€-1]_-;_-@_-" sourceLinked="1"/>
        <majorTickMark val="out"/>
        <minorTickMark val="none"/>
        <tickLblPos val="nextTo"/>
        <crossAx val="334112168"/>
        <crosses val="autoZero"/>
        <crossBetween val="between"/>
      </valAx>
    </plotArea>
    <plotVisOnly val="1"/>
    <dispBlanksAs val="gap"/>
  </chart>
</chartSpace>
</file>

<file path=xl/comments/comment1.xml><?xml version="1.0" encoding="utf-8"?>
<comments xmlns="http://schemas.openxmlformats.org/spreadsheetml/2006/main">
  <authors>
    <author>Raphaël Guilbert</author>
  </authors>
  <commentList>
    <comment ref="B16" authorId="0" shapeId="0">
      <text>
        <t>Raphaël Guilbert:
rajoutez d'autres investissements spécifiques à votre activité si besoin...</t>
      </text>
    </comment>
    <comment ref="B17" authorId="0" shapeId="0">
      <text>
        <t>Raphaël Guilbert:
rajoutez d'autres investissements spécifiques à votre activité si besoin...</t>
      </text>
    </comment>
    <comment ref="B18" authorId="0" shapeId="0">
      <text>
        <t>Raphaël Guilbert:
rajoutez d'autres investissements spécifiques à votre activité si besoin...</t>
      </text>
    </comment>
    <comment ref="B19" authorId="0" shapeId="0">
      <text>
        <t>Raphaël Guilbert:
rajoutez d'autres investissements spécifiques à votre activité si besoin...</t>
      </text>
    </comment>
    <comment ref="B20" authorId="0" shapeId="0">
      <text>
        <t>Raphaël Guilbert:
rajoutez d'autres investissements spécifiques à votre activité si besoin...</t>
      </text>
    </comment>
  </commentList>
</comments>
</file>

<file path=xl/comments/comment2.xml><?xml version="1.0" encoding="utf-8"?>
<comments xmlns="http://schemas.openxmlformats.org/spreadsheetml/2006/main">
  <authors>
    <author>Vincent Gilleman</author>
  </authors>
  <commentList>
    <comment ref="C26" authorId="0" shapeId="0">
      <text>
        <t>Vincent Gilleman:
Rajoutez ici d'autres frais PRO potentiels</t>
      </text>
    </comment>
    <comment ref="C27" authorId="0" shapeId="0">
      <text>
        <t>Vincent Gilleman:
Rajoutez ici d'autres frais PRO potentiels</t>
      </text>
    </comment>
    <comment ref="C28" authorId="0" shapeId="0">
      <text>
        <t>Vincent Gilleman:
Rajoutez ici d'autres frais PRO potentiels</t>
      </text>
    </comment>
    <comment ref="C29" authorId="0" shapeId="0">
      <text>
        <t>Vincent Gilleman:
Rajoutez ici d'autres frais PRO potentiels</t>
      </text>
    </comment>
  </commentList>
</comments>
</file>

<file path=xl/comments/comment3.xml><?xml version="1.0" encoding="utf-8"?>
<comments xmlns="http://schemas.openxmlformats.org/spreadsheetml/2006/main">
  <authors>
    <author>Raphaël Guilbert</author>
  </authors>
  <commentList>
    <comment ref="G4" authorId="0" shapeId="0">
      <text>
        <t xml:space="preserve">Raphaël Guilbert:
mettre 0,5 par exemple si vente d'1 ts les 2 mois
</t>
      </text>
    </comment>
  </commentList>
</comments>
</file>

<file path=xl/comments/comment4.xml><?xml version="1.0" encoding="utf-8"?>
<comments xmlns="http://schemas.openxmlformats.org/spreadsheetml/2006/main">
  <authors>
    <author>Raphaël Guilbert</author>
    <author>Vincent Gilleman</author>
  </authors>
  <commentList>
    <comment ref="C2" authorId="0" shapeId="0">
      <text>
        <t>Raphaël Gu
ilbert:
1h = 1; 1/2h=0,5  pensez à tenir compte du tps de préparation et de déplacement</t>
      </text>
    </comment>
    <comment ref="D2" authorId="0" shapeId="0">
      <text>
        <t>Raphaël Guilbert:
si vs vendez au forfait indépendament du nbr de participants, mettez "1"</t>
      </text>
    </comment>
    <comment ref="B16" authorId="1" shapeId="0">
      <text>
        <t>Vincent Gilleman:
Rajoutez ici d'autres frais PRO potentiels</t>
      </text>
    </comment>
    <comment ref="B17" authorId="1" shapeId="0">
      <text>
        <t>Vincent Gilleman:
Rajoutez ici d'autres frais PRO potentiels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1</col>
      <colOff>7503976</colOff>
      <row>14</row>
      <rowOff>43581</rowOff>
    </from>
    <to>
      <col>2</col>
      <colOff>150676</colOff>
      <row>20</row>
      <rowOff>16147</rowOff>
    </to>
    <pic>
      <nvPicPr>
        <cNvPr id="4" name="Imag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016512" y="4261795"/>
          <a:ext cx="1409700" cy="122442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3</col>
      <colOff>431800</colOff>
      <row>12</row>
      <rowOff>80433</rowOff>
    </from>
    <to>
      <col>10</col>
      <colOff>296333</colOff>
      <row>28</row>
      <rowOff>127000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https://finances.belgium.be/fr/E-services/Tax-calc" TargetMode="Externa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FFFF0000"/>
    <outlinePr summaryBelow="1" summaryRight="1"/>
    <pageSetUpPr/>
  </sheetPr>
  <dimension ref="A2:B27"/>
  <sheetViews>
    <sheetView showGridLines="0" zoomScale="80" zoomScaleNormal="80" zoomScalePageLayoutView="125" workbookViewId="0">
      <selection activeCell="B10" sqref="B10"/>
    </sheetView>
  </sheetViews>
  <sheetFormatPr baseColWidth="10" defaultColWidth="10.6640625" defaultRowHeight="14"/>
  <cols>
    <col width="6.6640625" customWidth="1" style="2" min="1" max="1"/>
    <col width="115" customWidth="1" style="2" min="2" max="2"/>
    <col width="10.6640625" customWidth="1" style="2" min="3" max="16384"/>
  </cols>
  <sheetData>
    <row r="2" ht="18" customHeight="1">
      <c r="A2" s="35" t="inlineStr">
        <is>
          <t>INTRODUCTION</t>
        </is>
      </c>
    </row>
    <row r="5" ht="38" customHeight="1">
      <c r="A5" s="237" t="inlineStr">
        <is>
          <t>Le fichier suivant découpe le plan financier de votre activité. Il va vous permettre de réaliser quel revenu vous pouvez espérer de votre activité.</t>
        </is>
      </c>
    </row>
    <row r="6" ht="21" customHeight="1">
      <c r="A6" s="99" t="inlineStr">
        <is>
          <t>Soyez le plus précis possible avec vos estimations.</t>
        </is>
      </c>
    </row>
    <row r="8" ht="26" customHeight="1">
      <c r="A8" s="238" t="inlineStr">
        <is>
          <t xml:space="preserve"> 1) Attention! /  Let Op! / Achtung!</t>
        </is>
      </c>
    </row>
    <row r="9" ht="16" customHeight="1">
      <c r="A9" s="240" t="inlineStr">
        <is>
          <t>Seules ces cases "saumons" sont à remplir selon votre situation</t>
        </is>
      </c>
    </row>
    <row r="10" ht="37.25" customHeight="1">
      <c r="B10" s="147" t="inlineStr">
        <is>
          <t>Toutes les autres cases se remplissent automatiquement 
=&gt; ne surtout pas les remplir sinon vous écrasez les formules =&gt; penser à revenir en arrière si besoin &lt;CTRL&gt;  &lt; Z&gt;</t>
        </is>
      </c>
    </row>
    <row r="11" ht="9" customHeight="1">
      <c r="B11" s="147" t="n"/>
    </row>
    <row r="12" ht="35" customHeight="1">
      <c r="A12" s="242" t="inlineStr">
        <is>
          <t>2) Veuillez à vous projeter à la fin de vos 18 mois de test pour créer ce plan financier, nous parlerons donc de votre 1er mois d'activité en tant qu'indépendant avec votre propre numéro de TVA: soit 19 mois après le début de votre test.</t>
        </is>
      </c>
    </row>
    <row r="14" ht="49.25" customHeight="1">
      <c r="A14" s="244" t="inlineStr">
        <is>
          <t>3) Faites varier les hypothèses pour voir ce que cela donne sur votre rentabilité, et le revenu que vous pouvez tirer de l'activité. Vous pouvez créer autant de scénarios que vous le souhaitez pour tester l'impact économique de vos hypothèses: prix de vente, frais généraux...</t>
        </is>
      </c>
    </row>
    <row r="16">
      <c r="A16" s="235" t="inlineStr">
        <is>
          <t>Ce fichier est mis à disposition des Candidats-Entrepreneurs de JYS</t>
        </is>
      </c>
    </row>
    <row r="17"/>
    <row r="18"/>
    <row r="19"/>
    <row r="20"/>
    <row r="21"/>
    <row r="22"/>
    <row r="23"/>
    <row r="24"/>
    <row r="25" ht="24" customHeight="1"/>
    <row r="26"/>
    <row r="27">
      <c r="B27" s="100" t="n"/>
    </row>
  </sheetData>
  <mergeCells count="6">
    <mergeCell ref="A16:B26"/>
    <mergeCell ref="A5:B5"/>
    <mergeCell ref="A14:B14"/>
    <mergeCell ref="A9:B9"/>
    <mergeCell ref="A8:B8"/>
    <mergeCell ref="A12:B12"/>
  </mergeCells>
  <pageMargins left="0.75" right="0.75" top="1" bottom="1" header="0.5" footer="0.5"/>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tabColor theme="2" tint="-0.09997863704336681"/>
    <outlinePr summaryBelow="1" summaryRight="1"/>
    <pageSetUpPr/>
  </sheetPr>
  <dimension ref="B1:K24"/>
  <sheetViews>
    <sheetView showGridLines="0" zoomScale="110" zoomScaleNormal="110" zoomScalePageLayoutView="125" workbookViewId="0">
      <selection activeCell="E21" sqref="E21"/>
    </sheetView>
  </sheetViews>
  <sheetFormatPr baseColWidth="10" defaultColWidth="10.6640625" defaultRowHeight="14"/>
  <cols>
    <col width="5" customWidth="1" style="2" min="1" max="1"/>
    <col width="31.1640625" customWidth="1" style="2" min="2" max="2"/>
    <col width="16.5" customWidth="1" style="2" min="3" max="9"/>
    <col width="5.1640625" customWidth="1" style="2" min="10" max="10"/>
    <col width="10.6640625" customWidth="1" style="2" min="11" max="16384"/>
  </cols>
  <sheetData>
    <row r="1" ht="36" customHeight="1">
      <c r="B1" s="21" t="inlineStr">
        <is>
          <t>Investissements</t>
        </is>
      </c>
    </row>
    <row r="2" customFormat="1" s="4">
      <c r="B2" s="246" t="inlineStr">
        <is>
          <t>Les investissements dont vous avez absolument besoin pour démarrer votre activité.</t>
        </is>
      </c>
    </row>
    <row r="3" ht="33" customFormat="1" customHeight="1" s="4">
      <c r="B3" s="247" t="inlineStr">
        <is>
          <t>Ce que vous possédez déjà ne compte pas à ce stade. A moins que l'investissement soit récent et que vous ayez encore la facture. Dans ce cas il faut indiquer en prix d'achat le montant non amorti.</t>
        </is>
      </c>
    </row>
    <row r="5" ht="60" customHeight="1">
      <c r="B5" s="6" t="inlineStr">
        <is>
          <t>Désignation</t>
        </is>
      </c>
      <c r="C5" s="7" t="n"/>
      <c r="D5" s="8" t="inlineStr">
        <is>
          <t>Prix d'achat 
tvaC</t>
        </is>
      </c>
      <c r="E5" s="8" t="inlineStr">
        <is>
          <t>Prix d'achat
Htva</t>
        </is>
      </c>
      <c r="F5" s="8" t="inlineStr">
        <is>
          <t>durée de l'amortissement</t>
        </is>
      </c>
      <c r="G5" s="8" t="inlineStr">
        <is>
          <t>durée de l'amortissement</t>
        </is>
      </c>
      <c r="H5" s="8" t="inlineStr">
        <is>
          <t>Montant mensuel de l'amortissement année 1</t>
        </is>
      </c>
      <c r="I5" s="8" t="inlineStr">
        <is>
          <t>Montant mensuel de l'amortissement année 2 ou plus</t>
        </is>
      </c>
    </row>
    <row r="6" ht="15" customHeight="1">
      <c r="B6" s="9" t="n"/>
      <c r="C6" s="9" t="inlineStr">
        <is>
          <t>Unités:</t>
        </is>
      </c>
      <c r="D6" s="10" t="inlineStr">
        <is>
          <t>Euros</t>
        </is>
      </c>
      <c r="E6" s="10" t="inlineStr">
        <is>
          <t>Euros</t>
        </is>
      </c>
      <c r="F6" s="10" t="inlineStr">
        <is>
          <t>année</t>
        </is>
      </c>
      <c r="G6" s="10" t="inlineStr">
        <is>
          <t>mois</t>
        </is>
      </c>
      <c r="H6" s="10" t="inlineStr">
        <is>
          <t>Euros</t>
        </is>
      </c>
      <c r="I6" s="10" t="inlineStr">
        <is>
          <t>Euros</t>
        </is>
      </c>
    </row>
    <row r="7">
      <c r="B7" s="11" t="inlineStr">
        <is>
          <t>Ordinateur</t>
        </is>
      </c>
      <c r="C7" s="12" t="n">
        <v>1</v>
      </c>
      <c r="D7" s="263" t="n">
        <v>1800</v>
      </c>
      <c r="E7" s="264">
        <f>SUM(D7/1.21)</f>
        <v/>
      </c>
      <c r="F7" s="12" t="n">
        <v>3</v>
      </c>
      <c r="G7" s="13">
        <f>+F7*12</f>
        <v/>
      </c>
      <c r="H7" s="265">
        <f>E7*C7/G7</f>
        <v/>
      </c>
      <c r="I7" s="266">
        <f>H7</f>
        <v/>
      </c>
      <c r="J7" s="179" t="inlineStr">
        <is>
          <t>&gt;</t>
        </is>
      </c>
      <c r="K7" s="2" t="inlineStr">
        <is>
          <t>Pour obtenir le montant Htva &gt;  montant tvaC/1,21 (pour TVA à 21%)</t>
        </is>
      </c>
    </row>
    <row r="8">
      <c r="B8" s="15" t="inlineStr">
        <is>
          <t>Téléphone</t>
        </is>
      </c>
      <c r="C8" s="16" t="n">
        <v>0</v>
      </c>
      <c r="D8" s="267" t="n">
        <v>0</v>
      </c>
      <c r="E8" s="264">
        <f>SUM(D8/1.21)</f>
        <v/>
      </c>
      <c r="F8" s="16" t="n">
        <v>3</v>
      </c>
      <c r="G8" s="17">
        <f>+F8*12</f>
        <v/>
      </c>
      <c r="H8" s="265">
        <f>E8*C8/G8</f>
        <v/>
      </c>
      <c r="I8" s="266">
        <f>H8</f>
        <v/>
      </c>
      <c r="J8" s="179" t="inlineStr">
        <is>
          <t>&gt;</t>
        </is>
      </c>
      <c r="K8" s="2" t="inlineStr">
        <is>
          <t>Renseignez-vous sur internet concernant la durée d'amortissement</t>
        </is>
      </c>
    </row>
    <row r="9">
      <c r="B9" s="15" t="inlineStr">
        <is>
          <t>Bureau</t>
        </is>
      </c>
      <c r="C9" s="16" t="n">
        <v>0</v>
      </c>
      <c r="D9" s="267" t="n">
        <v>0</v>
      </c>
      <c r="E9" s="264">
        <f>SUM(D9/1.21)</f>
        <v/>
      </c>
      <c r="F9" s="16" t="n">
        <v>5</v>
      </c>
      <c r="G9" s="17">
        <f>+F9*12</f>
        <v/>
      </c>
      <c r="H9" s="265">
        <f>E9*C9/G9</f>
        <v/>
      </c>
      <c r="I9" s="266">
        <f>H9</f>
        <v/>
      </c>
    </row>
    <row r="10">
      <c r="B10" s="15" t="inlineStr">
        <is>
          <t>Chaises</t>
        </is>
      </c>
      <c r="C10" s="16" t="n">
        <v>0</v>
      </c>
      <c r="D10" s="267" t="n">
        <v>0</v>
      </c>
      <c r="E10" s="264">
        <f>SUM(D10/1.21)</f>
        <v/>
      </c>
      <c r="F10" s="16" t="n">
        <v>5</v>
      </c>
      <c r="G10" s="17">
        <f>+F10*12</f>
        <v/>
      </c>
      <c r="H10" s="265">
        <f>E10*C10/G10</f>
        <v/>
      </c>
      <c r="I10" s="266">
        <f>H10</f>
        <v/>
      </c>
    </row>
    <row r="11">
      <c r="B11" s="15" t="inlineStr">
        <is>
          <t>Luminaires</t>
        </is>
      </c>
      <c r="C11" s="16" t="n">
        <v>0</v>
      </c>
      <c r="D11" s="267" t="n">
        <v>0</v>
      </c>
      <c r="E11" s="264">
        <f>SUM(D11/1.21)</f>
        <v/>
      </c>
      <c r="F11" s="16" t="n">
        <v>3</v>
      </c>
      <c r="G11" s="17">
        <f>+F11*12</f>
        <v/>
      </c>
      <c r="H11" s="265">
        <f>E11*C11/G11</f>
        <v/>
      </c>
      <c r="I11" s="266">
        <f>H11</f>
        <v/>
      </c>
    </row>
    <row r="12">
      <c r="B12" s="15" t="inlineStr">
        <is>
          <t>Micro Cravate</t>
        </is>
      </c>
      <c r="C12" s="16" t="n">
        <v>0</v>
      </c>
      <c r="D12" s="267" t="n">
        <v>0</v>
      </c>
      <c r="E12" s="264">
        <f>SUM(D12/1.21)</f>
        <v/>
      </c>
      <c r="F12" s="16" t="n">
        <v>3</v>
      </c>
      <c r="G12" s="17">
        <f>+F12*12</f>
        <v/>
      </c>
      <c r="H12" s="265">
        <f>E12*C12/G12</f>
        <v/>
      </c>
      <c r="I12" s="266">
        <f>H12</f>
        <v/>
      </c>
    </row>
    <row r="13">
      <c r="B13" s="15" t="inlineStr">
        <is>
          <t xml:space="preserve">Imprimantes </t>
        </is>
      </c>
      <c r="C13" s="16" t="n">
        <v>0</v>
      </c>
      <c r="D13" s="267" t="n">
        <v>0</v>
      </c>
      <c r="E13" s="264">
        <f>SUM(D13/1.21)</f>
        <v/>
      </c>
      <c r="F13" s="16" t="n">
        <v>3</v>
      </c>
      <c r="G13" s="17">
        <f>+F13*12</f>
        <v/>
      </c>
      <c r="H13" s="265">
        <f>E13*C13/G13</f>
        <v/>
      </c>
      <c r="I13" s="266">
        <f>H13</f>
        <v/>
      </c>
    </row>
    <row r="14">
      <c r="B14" s="15" t="inlineStr">
        <is>
          <t>Identité visuelle du projet</t>
        </is>
      </c>
      <c r="C14" s="16" t="n">
        <v>0</v>
      </c>
      <c r="D14" s="267" t="n">
        <v>0</v>
      </c>
      <c r="E14" s="264">
        <f>SUM(D14/1.21)</f>
        <v/>
      </c>
      <c r="F14" s="16" t="n">
        <v>3</v>
      </c>
      <c r="G14" s="17">
        <f>+F14*12</f>
        <v/>
      </c>
      <c r="H14" s="265">
        <f>E14*C14/G14</f>
        <v/>
      </c>
      <c r="I14" s="266">
        <f>H14</f>
        <v/>
      </c>
    </row>
    <row r="15">
      <c r="B15" s="15" t="inlineStr">
        <is>
          <t>Création Site Web</t>
        </is>
      </c>
      <c r="C15" s="16" t="n">
        <v>0</v>
      </c>
      <c r="D15" s="267" t="n">
        <v>0</v>
      </c>
      <c r="E15" s="264">
        <f>SUM(D15/1.21)</f>
        <v/>
      </c>
      <c r="F15" s="16" t="n">
        <v>3</v>
      </c>
      <c r="G15" s="17">
        <f>+F15*12</f>
        <v/>
      </c>
      <c r="H15" s="265">
        <f>E15*C15/G15</f>
        <v/>
      </c>
      <c r="I15" s="266">
        <f>H15</f>
        <v/>
      </c>
    </row>
    <row r="16">
      <c r="B16" s="15" t="n"/>
      <c r="C16" s="16" t="n">
        <v>0</v>
      </c>
      <c r="D16" s="267" t="n">
        <v>0</v>
      </c>
      <c r="E16" s="264">
        <f>SUM(D16/1.21)</f>
        <v/>
      </c>
      <c r="F16" s="16" t="n">
        <v>3</v>
      </c>
      <c r="G16" s="17">
        <f>+F16*12</f>
        <v/>
      </c>
      <c r="H16" s="265">
        <f>E16*C16/G16</f>
        <v/>
      </c>
      <c r="I16" s="266">
        <f>H16</f>
        <v/>
      </c>
    </row>
    <row r="17">
      <c r="B17" s="15" t="n"/>
      <c r="C17" s="16" t="n">
        <v>0</v>
      </c>
      <c r="D17" s="267" t="n">
        <v>0</v>
      </c>
      <c r="E17" s="264">
        <f>SUM(D17/1.21)</f>
        <v/>
      </c>
      <c r="F17" s="16" t="n">
        <v>3</v>
      </c>
      <c r="G17" s="17">
        <f>+F17*12</f>
        <v/>
      </c>
      <c r="H17" s="265">
        <f>E17*C17/G17</f>
        <v/>
      </c>
      <c r="I17" s="266">
        <f>H17</f>
        <v/>
      </c>
    </row>
    <row r="18">
      <c r="B18" s="15" t="n"/>
      <c r="C18" s="16" t="n">
        <v>0</v>
      </c>
      <c r="D18" s="267" t="n">
        <v>0</v>
      </c>
      <c r="E18" s="264">
        <f>SUM(D18/1.21)</f>
        <v/>
      </c>
      <c r="F18" s="16" t="n">
        <v>3</v>
      </c>
      <c r="G18" s="17">
        <f>+F18*12</f>
        <v/>
      </c>
      <c r="H18" s="265">
        <f>E18*C18/G18</f>
        <v/>
      </c>
      <c r="I18" s="266">
        <f>H18</f>
        <v/>
      </c>
    </row>
    <row r="19">
      <c r="B19" s="15" t="n"/>
      <c r="C19" s="16" t="n">
        <v>0</v>
      </c>
      <c r="D19" s="267" t="n">
        <v>0</v>
      </c>
      <c r="E19" s="264">
        <f>SUM(D19/1.21)</f>
        <v/>
      </c>
      <c r="F19" s="16" t="n">
        <v>3</v>
      </c>
      <c r="G19" s="17">
        <f>+F19*12</f>
        <v/>
      </c>
      <c r="H19" s="265">
        <f>E19*C19/G19</f>
        <v/>
      </c>
      <c r="I19" s="266">
        <f>H19</f>
        <v/>
      </c>
    </row>
    <row r="20">
      <c r="B20" s="15" t="n"/>
      <c r="C20" s="16" t="n">
        <v>0</v>
      </c>
      <c r="D20" s="267" t="n">
        <v>0</v>
      </c>
      <c r="E20" s="264">
        <f>SUM(D20/1.21)</f>
        <v/>
      </c>
      <c r="F20" s="16" t="n">
        <v>3</v>
      </c>
      <c r="G20" s="17">
        <f>+F20*12</f>
        <v/>
      </c>
      <c r="H20" s="265">
        <f>E20*C20/G20</f>
        <v/>
      </c>
      <c r="I20" s="266">
        <f>H20</f>
        <v/>
      </c>
    </row>
    <row r="21" customFormat="1" s="3">
      <c r="B21" s="18" t="inlineStr">
        <is>
          <t>TOTAL</t>
        </is>
      </c>
      <c r="C21" s="19" t="n"/>
      <c r="D21" s="19" t="n"/>
      <c r="E21" s="268">
        <f>SUM(E7:E20)</f>
        <v/>
      </c>
      <c r="F21" s="19" t="n"/>
      <c r="G21" s="269" t="n"/>
      <c r="H21" s="270">
        <f>SUM(H7:H20)</f>
        <v/>
      </c>
      <c r="I21" s="270">
        <f>SUM(I7:I20)</f>
        <v/>
      </c>
    </row>
    <row r="23" ht="16" customFormat="1" customHeight="1" s="83">
      <c r="B23" s="248" t="inlineStr">
        <is>
          <t>INVESTISSEMENT  = Matériel (outils, machine, mobilier, véhicule) que vous allez utiliser sur min 2 ans pour un montant supérieur à 250 euros HTVA (coût unitaire)</t>
        </is>
      </c>
    </row>
    <row r="24">
      <c r="B24" s="3" t="inlineStr">
        <is>
          <t>Si vous désirez mettre un vehicule (2-3-4… roues) dans les investissements, renseignez-vous sur la partie déductible qui va dépendre de plusieurs paramètres.</t>
        </is>
      </c>
    </row>
  </sheetData>
  <mergeCells count="3">
    <mergeCell ref="B23:I23"/>
    <mergeCell ref="B3:I3"/>
    <mergeCell ref="B2:I2"/>
  </mergeCells>
  <pageMargins left="0.75" right="0.75" top="1" bottom="1" header="0.5" footer="0.5"/>
  <pageSetup orientation="portrait" paperSize="9" horizontalDpi="4294967292" verticalDpi="4294967292"/>
  <legacyDrawing xmlns:r="http://schemas.openxmlformats.org/officeDocument/2006/relationships" r:id="anysvml"/>
</worksheet>
</file>

<file path=xl/worksheets/sheet3.xml><?xml version="1.0" encoding="utf-8"?>
<worksheet xmlns="http://schemas.openxmlformats.org/spreadsheetml/2006/main">
  <sheetPr>
    <tabColor theme="3" tint="0.7999816888943144"/>
    <outlinePr summaryBelow="1" summaryRight="1"/>
    <pageSetUpPr/>
  </sheetPr>
  <dimension ref="A1:H32"/>
  <sheetViews>
    <sheetView showGridLines="0" topLeftCell="A3" zoomScaleNormal="100" zoomScalePageLayoutView="125" workbookViewId="0">
      <selection activeCell="E11" sqref="E11"/>
    </sheetView>
  </sheetViews>
  <sheetFormatPr baseColWidth="10" defaultColWidth="10.6640625" defaultRowHeight="14"/>
  <cols>
    <col width="5.6640625" customWidth="1" style="2" min="1" max="1"/>
    <col width="27" customWidth="1" style="2" min="2" max="2"/>
    <col width="45.33203125" bestFit="1" customWidth="1" style="2" min="3" max="3"/>
    <col width="14.5" customWidth="1" style="2" min="4" max="4"/>
    <col width="13.6640625" customWidth="1" style="2" min="5" max="5"/>
    <col width="3.5" customWidth="1" style="2" min="6" max="6"/>
    <col width="11.6640625" bestFit="1" customWidth="1" style="2" min="7" max="7"/>
    <col width="14.6640625" customWidth="1" style="2" min="8" max="8"/>
    <col width="10.5" bestFit="1" customWidth="1" style="2" min="9" max="9"/>
    <col width="12.6640625" customWidth="1" style="2" min="10" max="10"/>
    <col width="15.5" bestFit="1" customWidth="1" style="2" min="11" max="11"/>
    <col width="16" customWidth="1" style="2" min="12" max="12"/>
    <col width="10.6640625" bestFit="1" customWidth="1" style="2" min="13" max="13"/>
    <col width="10.6640625" customWidth="1" style="2" min="14" max="16384"/>
  </cols>
  <sheetData>
    <row r="1" ht="34.25" customHeight="1">
      <c r="B1" s="21" t="inlineStr">
        <is>
          <t>Frais généraux / frais de fonctionnement</t>
        </is>
      </c>
    </row>
    <row r="2">
      <c r="B2" s="4" t="inlineStr">
        <is>
          <t>Les frais que vous devez effectuer pour faire tourner votre activité.</t>
        </is>
      </c>
    </row>
    <row r="3" ht="15" customHeight="1" thickBot="1"/>
    <row r="4" ht="32.75" customHeight="1" thickBot="1">
      <c r="A4" s="250" t="inlineStr">
        <is>
          <t>PILATEF</t>
        </is>
      </c>
      <c r="B4" s="182" t="inlineStr">
        <is>
          <t>Désignation</t>
        </is>
      </c>
      <c r="C4" s="183" t="n"/>
      <c r="D4" s="184" t="inlineStr">
        <is>
          <t>Coût/annuel HTVA</t>
        </is>
      </c>
      <c r="E4" s="185" t="inlineStr">
        <is>
          <t>Coût/Mois HTVA</t>
        </is>
      </c>
    </row>
    <row r="5">
      <c r="A5" s="271" t="n"/>
      <c r="B5" s="22" t="inlineStr">
        <is>
          <t>Publicité</t>
        </is>
      </c>
      <c r="C5" s="11" t="inlineStr">
        <is>
          <t xml:space="preserve">Hébergement </t>
        </is>
      </c>
      <c r="D5" s="272">
        <f>E5*12</f>
        <v/>
      </c>
      <c r="E5" s="273" t="n">
        <v>5</v>
      </c>
      <c r="F5" s="179" t="inlineStr">
        <is>
          <t>&gt;</t>
        </is>
      </c>
      <c r="G5" s="148" t="inlineStr">
        <is>
          <t xml:space="preserve">Comment obtenir le montant Htva ? &gt;  montant tvaC/1,21 </t>
        </is>
      </c>
    </row>
    <row r="6">
      <c r="A6" s="271" t="n"/>
      <c r="B6" s="23" t="n"/>
      <c r="C6" s="11" t="inlineStr">
        <is>
          <t>Nom de domaine</t>
        </is>
      </c>
      <c r="D6" s="272">
        <f>E6*12</f>
        <v/>
      </c>
      <c r="E6" s="273" t="n">
        <v>2</v>
      </c>
      <c r="G6" s="148" t="n"/>
    </row>
    <row r="7">
      <c r="A7" s="271" t="n"/>
      <c r="B7" s="23" t="n"/>
      <c r="C7" s="11" t="inlineStr">
        <is>
          <t>Mise à jour/maintenance site web</t>
        </is>
      </c>
      <c r="D7" s="272">
        <f>E7*12</f>
        <v/>
      </c>
      <c r="E7" s="273" t="n">
        <v>0</v>
      </c>
      <c r="G7" s="148" t="n"/>
    </row>
    <row r="8" ht="15" customHeight="1">
      <c r="A8" s="271" t="n"/>
      <c r="B8" s="23" t="n"/>
      <c r="C8" s="169" t="inlineStr">
        <is>
          <t>impression Cartes de visite</t>
        </is>
      </c>
      <c r="D8" s="274" t="n">
        <v>100</v>
      </c>
      <c r="E8" s="275">
        <f>D8/12</f>
        <v/>
      </c>
      <c r="G8" s="173" t="n"/>
    </row>
    <row r="9">
      <c r="A9" s="271" t="n"/>
      <c r="B9" s="23" t="n"/>
      <c r="C9" s="15" t="inlineStr">
        <is>
          <t>Pub Réseaux sociaux</t>
        </is>
      </c>
      <c r="D9" s="275">
        <f>E9*12</f>
        <v/>
      </c>
      <c r="E9" s="274" t="n">
        <v>0</v>
      </c>
      <c r="G9" s="148" t="n"/>
    </row>
    <row r="10">
      <c r="A10" s="271" t="n"/>
      <c r="B10" s="23" t="inlineStr">
        <is>
          <t>Intérêts des emprunts</t>
        </is>
      </c>
      <c r="C10" s="143" t="n"/>
      <c r="D10" s="275">
        <f>E10*12</f>
        <v/>
      </c>
      <c r="E10" s="276">
        <f>'fond de roulement'!C18</f>
        <v/>
      </c>
      <c r="G10" s="148" t="n"/>
    </row>
    <row r="11">
      <c r="A11" s="271" t="n"/>
      <c r="B11" s="23" t="inlineStr">
        <is>
          <t>Loyer</t>
        </is>
      </c>
      <c r="C11" s="15" t="n"/>
      <c r="D11" s="275">
        <f>E11*12</f>
        <v/>
      </c>
      <c r="E11" s="274" t="n">
        <v>0</v>
      </c>
      <c r="F11" s="179" t="inlineStr">
        <is>
          <t>&gt;</t>
        </is>
      </c>
      <c r="G11" s="148" t="inlineStr">
        <is>
          <t>si propriétaire OU voir avec propriétaire car inscription dans bail. Sera calculé au prorata du métrage carré de la surface pro</t>
        </is>
      </c>
    </row>
    <row r="12">
      <c r="A12" s="271" t="n"/>
      <c r="B12" s="23" t="inlineStr">
        <is>
          <t>Assurances</t>
        </is>
      </c>
      <c r="C12" s="15" t="inlineStr">
        <is>
          <t>Responsabilité Civile et Jur Pro (Obligatoire)</t>
        </is>
      </c>
      <c r="D12" s="274" t="n">
        <v>425</v>
      </c>
      <c r="E12" s="275">
        <f>D12/12</f>
        <v/>
      </c>
      <c r="G12" s="148" t="n"/>
    </row>
    <row r="13">
      <c r="A13" s="271" t="n"/>
      <c r="B13" s="23" t="n"/>
      <c r="C13" s="15" t="inlineStr">
        <is>
          <t>Revenu garanti  (option)</t>
        </is>
      </c>
      <c r="D13" s="274" t="n">
        <v>0</v>
      </c>
      <c r="E13" s="275">
        <f>D13/12</f>
        <v/>
      </c>
      <c r="G13" s="148" t="n"/>
      <c r="H13" s="150" t="n"/>
    </row>
    <row r="14">
      <c r="A14" s="271" t="n"/>
      <c r="B14" s="23" t="n"/>
      <c r="C14" s="15" t="inlineStr">
        <is>
          <t>Incendie</t>
        </is>
      </c>
      <c r="D14" s="274" t="n">
        <v>0</v>
      </c>
      <c r="E14" s="275">
        <f>D14/12</f>
        <v/>
      </c>
      <c r="F14" s="179" t="inlineStr">
        <is>
          <t>&gt;</t>
        </is>
      </c>
      <c r="G14" s="162" t="inlineStr">
        <is>
          <t>Sera calculé au prorata du métrage carré de la surface pro</t>
        </is>
      </c>
      <c r="H14" s="150" t="n"/>
    </row>
    <row r="15">
      <c r="A15" s="271" t="n"/>
      <c r="B15" s="23" t="n"/>
      <c r="C15" s="15" t="inlineStr">
        <is>
          <t>Pension complémentaire (PLCI) (option)</t>
        </is>
      </c>
      <c r="D15" s="274" t="n">
        <v>0</v>
      </c>
      <c r="E15" s="275">
        <f>D15/12</f>
        <v/>
      </c>
      <c r="G15" s="148" t="n"/>
    </row>
    <row r="16">
      <c r="A16" s="271" t="n"/>
      <c r="B16" s="23" t="inlineStr">
        <is>
          <t>Télécomunications</t>
        </is>
      </c>
      <c r="C16" s="15" t="inlineStr">
        <is>
          <t>GSM</t>
        </is>
      </c>
      <c r="D16" s="275">
        <f>E16*12</f>
        <v/>
      </c>
      <c r="E16" s="274" t="n">
        <v>15</v>
      </c>
      <c r="F16" s="179" t="inlineStr">
        <is>
          <t>&gt;</t>
        </is>
      </c>
      <c r="G16" s="148" t="inlineStr">
        <is>
          <t xml:space="preserve">si 1 seul abonnement GSM: part pro = 75-80%. OU si abonnement exclusivement PRO: à reprendre à 100% </t>
        </is>
      </c>
    </row>
    <row r="17">
      <c r="A17" s="271" t="n"/>
      <c r="B17" s="23" t="n"/>
      <c r="C17" s="15" t="inlineStr">
        <is>
          <t>Internet</t>
        </is>
      </c>
      <c r="D17" s="275">
        <f>E17*12</f>
        <v/>
      </c>
      <c r="E17" s="274" t="n">
        <v>10</v>
      </c>
      <c r="F17" s="179" t="inlineStr">
        <is>
          <t>&gt;</t>
        </is>
      </c>
      <c r="G17" s="148" t="inlineStr">
        <is>
          <t xml:space="preserve">si 1 seul abonnement INTERNET: part pro = Sera calculé au prorata du métrage carré de la surface pro. OU si abonnement exclusivement PRO : à reprendre à 100% </t>
        </is>
      </c>
    </row>
    <row r="18">
      <c r="A18" s="271" t="n"/>
      <c r="B18" s="23" t="inlineStr">
        <is>
          <t>Energie</t>
        </is>
      </c>
      <c r="C18" s="15" t="inlineStr">
        <is>
          <t>Gaz et électricité</t>
        </is>
      </c>
      <c r="D18" s="275">
        <f>E18*12</f>
        <v/>
      </c>
      <c r="E18" s="274" t="n">
        <v>10</v>
      </c>
      <c r="F18" s="179" t="inlineStr">
        <is>
          <t>&gt;</t>
        </is>
      </c>
      <c r="G18" s="148" t="inlineStr">
        <is>
          <t xml:space="preserve">si travail depuis le domicile: part pro de la facture = Sera calculé au prorata du métrage carré de la surface pro. OU si local exclusivement PRO: à reprendre à 100% </t>
        </is>
      </c>
    </row>
    <row r="19" ht="30" customHeight="1">
      <c r="A19" s="271" t="n"/>
      <c r="B19" s="24" t="inlineStr">
        <is>
          <t>Frais divers (tout ce qui sert à plus d'un client)</t>
        </is>
      </c>
      <c r="C19" s="15" t="inlineStr">
        <is>
          <t>Location de licence (Adobe, Canva, ChatGPT...)</t>
        </is>
      </c>
      <c r="D19" s="274" t="n">
        <v>600</v>
      </c>
      <c r="E19" s="275">
        <f>D19/12</f>
        <v/>
      </c>
      <c r="G19" s="159" t="n"/>
    </row>
    <row r="20">
      <c r="A20" s="271" t="n"/>
      <c r="B20" s="23" t="n"/>
      <c r="C20" s="106" t="inlineStr">
        <is>
          <t>Fourniture de bureau</t>
        </is>
      </c>
      <c r="D20" s="275">
        <f>E20*12</f>
        <v/>
      </c>
      <c r="E20" s="274" t="n">
        <v>5</v>
      </c>
      <c r="G20" s="148" t="n"/>
    </row>
    <row r="21">
      <c r="A21" s="271" t="n"/>
      <c r="B21" s="23" t="n"/>
      <c r="C21" s="106" t="inlineStr">
        <is>
          <t>Déplacements</t>
        </is>
      </c>
      <c r="D21" s="275">
        <f>E21*12</f>
        <v/>
      </c>
      <c r="E21" s="274" t="n">
        <v>25</v>
      </c>
      <c r="F21" s="179" t="inlineStr">
        <is>
          <t>&gt;</t>
        </is>
      </c>
      <c r="G21" s="148" t="inlineStr">
        <is>
          <t xml:space="preserve">Voiture: 0,4290 € / km &amp; Vélo: 0,24 €/km pour utilisation privé/pro ; STIB-TEC-DE LIJN-SNCB abonnement : 80% ; cartes 10 trajets: à 100% sur justificatifs </t>
        </is>
      </c>
    </row>
    <row r="22">
      <c r="A22" s="25" t="n"/>
      <c r="B22" s="23" t="n"/>
      <c r="C22" s="106" t="inlineStr">
        <is>
          <t>Comptable</t>
        </is>
      </c>
      <c r="D22" s="274" t="n">
        <v>1100</v>
      </c>
      <c r="E22" s="275">
        <f>D22/12</f>
        <v/>
      </c>
      <c r="H22" s="149" t="n"/>
    </row>
    <row r="23">
      <c r="A23" s="25" t="n"/>
      <c r="B23" s="23" t="n"/>
      <c r="C23" s="106" t="inlineStr">
        <is>
          <t>Formations</t>
        </is>
      </c>
      <c r="D23" s="274" t="n">
        <v>200</v>
      </c>
      <c r="E23" s="275">
        <f>D23/12</f>
        <v/>
      </c>
      <c r="H23" s="149" t="n"/>
    </row>
    <row r="24">
      <c r="A24" s="25" t="n"/>
      <c r="B24" s="23" t="n"/>
      <c r="C24" s="106" t="inlineStr">
        <is>
          <t>Coworking</t>
        </is>
      </c>
      <c r="D24" s="274" t="n">
        <v>0</v>
      </c>
      <c r="E24" s="275">
        <f>D24/12</f>
        <v/>
      </c>
      <c r="H24" s="149" t="n"/>
    </row>
    <row r="25">
      <c r="A25" s="25" t="n"/>
      <c r="B25" s="23" t="n"/>
      <c r="C25" s="106" t="inlineStr">
        <is>
          <t>Dépot de marque</t>
        </is>
      </c>
      <c r="D25" s="274" t="n">
        <v>0</v>
      </c>
      <c r="E25" s="275">
        <f>D25/12</f>
        <v/>
      </c>
      <c r="H25" s="149" t="n"/>
    </row>
    <row r="26">
      <c r="A26" s="25" t="n"/>
      <c r="B26" s="23" t="n"/>
      <c r="C26" s="106" t="n"/>
      <c r="D26" s="274" t="n">
        <v>0</v>
      </c>
      <c r="E26" s="275">
        <f>D26/12</f>
        <v/>
      </c>
      <c r="H26" s="149" t="n"/>
    </row>
    <row r="27">
      <c r="A27" s="25" t="n"/>
      <c r="B27" s="23" t="n"/>
      <c r="C27" s="106" t="n"/>
      <c r="D27" s="274" t="n">
        <v>0</v>
      </c>
      <c r="E27" s="275">
        <f>D27/12</f>
        <v/>
      </c>
      <c r="H27" s="149" t="n"/>
    </row>
    <row r="28">
      <c r="A28" s="25" t="n"/>
      <c r="B28" s="23" t="n"/>
      <c r="C28" s="106" t="n"/>
      <c r="D28" s="274" t="n">
        <v>0</v>
      </c>
      <c r="E28" s="275">
        <f>D28/12</f>
        <v/>
      </c>
      <c r="H28" s="149" t="n"/>
    </row>
    <row r="29">
      <c r="A29" s="25" t="n"/>
      <c r="B29" s="23" t="n"/>
      <c r="C29" s="106" t="n"/>
      <c r="D29" s="274" t="n">
        <v>0</v>
      </c>
      <c r="E29" s="275">
        <f>D29/12</f>
        <v/>
      </c>
      <c r="G29" s="148" t="n"/>
    </row>
    <row r="30">
      <c r="B30" s="18" t="inlineStr">
        <is>
          <t>TOTAL</t>
        </is>
      </c>
      <c r="C30" s="19" t="n"/>
      <c r="D30" s="269" t="n"/>
      <c r="E30" s="277">
        <f>SUM(E5:E29)</f>
        <v/>
      </c>
    </row>
    <row r="32" ht="69.75" customHeight="1">
      <c r="B32" s="252" t="inlineStr">
        <is>
          <t>FRAIS GENERAUX = coûts engagés par une entreprise dans le cadre de ses activités quotidiennes : tous les frais de fonctionnement récurrents (ex : électricité, déplacements, communications, location assurances…) sauf les frais variables qui vont se retrouver dans le calcul de la marge brute à l’onglet suivant.</t>
        </is>
      </c>
      <c r="H32" s="151" t="n"/>
    </row>
  </sheetData>
  <mergeCells count="2">
    <mergeCell ref="A4:A21"/>
    <mergeCell ref="B32:E32"/>
  </mergeCells>
  <pageMargins left="0.75" right="0.75" top="1" bottom="1" header="0.5" footer="0.5"/>
  <pageSetup orientation="portrait" paperSize="9"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tabColor theme="6" tint="0.7999816888943144"/>
    <outlinePr summaryBelow="1" summaryRight="1"/>
    <pageSetUpPr/>
  </sheetPr>
  <dimension ref="A2:Q17"/>
  <sheetViews>
    <sheetView showGridLines="0" topLeftCell="A3" zoomScale="141" zoomScaleNormal="100" zoomScalePageLayoutView="125" workbookViewId="0">
      <selection activeCell="B6" sqref="B6"/>
    </sheetView>
  </sheetViews>
  <sheetFormatPr baseColWidth="10" defaultColWidth="10.6640625" defaultRowHeight="14"/>
  <cols>
    <col width="23.1640625" customWidth="1" style="2" min="1" max="1"/>
    <col width="14.1640625" customWidth="1" style="278" min="2" max="6"/>
    <col width="14.1640625" customWidth="1" style="5" min="7" max="9"/>
    <col width="14.1640625" customWidth="1" style="2" min="10" max="11"/>
    <col width="14.1640625" customWidth="1" style="278" min="12" max="12"/>
    <col width="14.1640625" customWidth="1" style="2" min="13" max="15"/>
    <col width="10.6640625" customWidth="1" style="2" min="16" max="16384"/>
  </cols>
  <sheetData>
    <row r="2" ht="18" customHeight="1">
      <c r="A2" s="104" t="inlineStr">
        <is>
          <t>Chiffre d'affaire, frais d'approvisionnement et marge brute</t>
        </is>
      </c>
    </row>
    <row r="4" ht="57" customFormat="1" customHeight="1" s="28" thickBot="1">
      <c r="A4" s="279" t="inlineStr">
        <is>
          <t>Vos produits/services</t>
        </is>
      </c>
      <c r="B4" s="279" t="inlineStr">
        <is>
          <t>Prix de vente/ unité 
TVAC</t>
        </is>
      </c>
      <c r="C4" s="279" t="inlineStr">
        <is>
          <t>Choix TVA  (0%, 6%, 12%, 21%)</t>
        </is>
      </c>
      <c r="D4" s="279" t="inlineStr">
        <is>
          <t>prix de vente/ unité HTVA</t>
        </is>
      </c>
      <c r="E4" s="279" t="inlineStr">
        <is>
          <t>frais d'approvisionnement par unité (HTVA)</t>
        </is>
      </c>
      <c r="F4" s="279" t="inlineStr">
        <is>
          <t>marge brute par unité de produit</t>
        </is>
      </c>
      <c r="G4" s="145" t="inlineStr">
        <is>
          <t>nbr moyen d'unités  vendues par mois</t>
        </is>
      </c>
      <c r="H4" s="160" t="inlineStr">
        <is>
          <t>durée totale mensuelle restant disponible</t>
        </is>
      </c>
      <c r="I4" s="145" t="inlineStr">
        <is>
          <t>nbr unités vendues par an</t>
        </is>
      </c>
      <c r="J4" s="145" t="inlineStr">
        <is>
          <t>CA HTVA mensuel moyen</t>
        </is>
      </c>
      <c r="K4" s="145" t="inlineStr">
        <is>
          <t xml:space="preserve">frais d'appro moyen par mois </t>
        </is>
      </c>
      <c r="L4" s="279" t="inlineStr">
        <is>
          <t>marge brute mensuelle de ce produit par mois moyen</t>
        </is>
      </c>
      <c r="M4" s="145" t="inlineStr">
        <is>
          <t xml:space="preserve">CA HTVA annuel </t>
        </is>
      </c>
      <c r="N4" s="145" t="inlineStr">
        <is>
          <t xml:space="preserve">frais d'appro annuel </t>
        </is>
      </c>
      <c r="O4" s="279" t="inlineStr">
        <is>
          <t xml:space="preserve">marge brute annuelle de ce produit </t>
        </is>
      </c>
    </row>
    <row r="5" ht="15" customFormat="1" customHeight="1" s="29">
      <c r="B5" s="280" t="n"/>
      <c r="C5" s="280" t="n"/>
      <c r="D5" s="280" t="n"/>
      <c r="E5" s="280" t="n"/>
      <c r="F5" s="280" t="n"/>
      <c r="H5" s="281">
        <f>SUM('Durée Prod'!G20)</f>
        <v/>
      </c>
      <c r="J5" s="282">
        <f>SUM(J6:J15)</f>
        <v/>
      </c>
      <c r="K5" s="282">
        <f>SUM(K6:K15)</f>
        <v/>
      </c>
      <c r="L5" s="282">
        <f>SUM(L6:L15)</f>
        <v/>
      </c>
      <c r="M5" s="282">
        <f>SUM(M6:M15)</f>
        <v/>
      </c>
      <c r="N5" s="282">
        <f>SUM(N6:N15)</f>
        <v/>
      </c>
      <c r="O5" s="282">
        <f>SUM(O6:O15)</f>
        <v/>
      </c>
      <c r="Q5" s="186" t="inlineStr">
        <is>
          <t>TVA</t>
        </is>
      </c>
    </row>
    <row r="6">
      <c r="A6" s="232" t="inlineStr">
        <is>
          <t>Site web ASBL (forfait site + formation + 3 mois support)</t>
        </is>
      </c>
      <c r="B6" s="283" t="n">
        <v>1500</v>
      </c>
      <c r="C6" s="175" t="n">
        <v>0</v>
      </c>
      <c r="D6" s="284">
        <f>B6/(1+C6)</f>
        <v/>
      </c>
      <c r="E6" s="283" t="n">
        <v>0</v>
      </c>
      <c r="F6" s="284">
        <f>D6-E6</f>
        <v/>
      </c>
      <c r="G6" s="285" t="n">
        <v>0.92</v>
      </c>
      <c r="H6" s="286">
        <f>SUM('Durée Prod'!G3)</f>
        <v/>
      </c>
      <c r="I6" s="286">
        <f>SUM(G6*12)</f>
        <v/>
      </c>
      <c r="J6" s="284">
        <f>G6*D6</f>
        <v/>
      </c>
      <c r="K6" s="284">
        <f>G6*E6</f>
        <v/>
      </c>
      <c r="L6" s="284">
        <f>F6*G6</f>
        <v/>
      </c>
      <c r="M6" s="284">
        <f>J6*12</f>
        <v/>
      </c>
      <c r="N6" s="284">
        <f>K6*12</f>
        <v/>
      </c>
      <c r="O6" s="284">
        <f>L6*12</f>
        <v/>
      </c>
      <c r="Q6" s="187" t="n">
        <v>0</v>
      </c>
    </row>
    <row r="7">
      <c r="A7" s="232" t="inlineStr">
        <is>
          <t>Hébergement + nom de domaine (forfait annuel par site du parc)</t>
        </is>
      </c>
      <c r="B7" s="283" t="n">
        <v>100</v>
      </c>
      <c r="C7" s="175" t="n">
        <v>0</v>
      </c>
      <c r="D7" s="284">
        <f>B7/(1+C7)</f>
        <v/>
      </c>
      <c r="E7" s="283" t="n">
        <v>30</v>
      </c>
      <c r="F7" s="284">
        <f>D7-E7</f>
        <v/>
      </c>
      <c r="G7" s="285" t="n">
        <v>1.25</v>
      </c>
      <c r="H7" s="286">
        <f>SUM('Durée Prod'!G4)</f>
        <v/>
      </c>
      <c r="I7" s="286">
        <f>SUM(G7*12)</f>
        <v/>
      </c>
      <c r="J7" s="284">
        <f>G7*D7</f>
        <v/>
      </c>
      <c r="K7" s="284">
        <f>G7*E7</f>
        <v/>
      </c>
      <c r="L7" s="284">
        <f>F7*G7</f>
        <v/>
      </c>
      <c r="M7" s="284">
        <f>J7*12</f>
        <v/>
      </c>
      <c r="N7" s="284">
        <f>K7*12</f>
        <v/>
      </c>
      <c r="O7" s="284">
        <f>L7*12</f>
        <v/>
      </c>
      <c r="Q7" s="187" t="n">
        <v>0.06</v>
      </c>
    </row>
    <row r="8">
      <c r="A8" s="232" t="inlineStr">
        <is>
          <t>App / outil de gestion sur mesure (CRM, subsides, inscriptions)</t>
        </is>
      </c>
      <c r="B8" s="283" t="n">
        <v>3000</v>
      </c>
      <c r="C8" s="175" t="n">
        <v>0</v>
      </c>
      <c r="D8" s="284">
        <f>B8/(1+C8)</f>
        <v/>
      </c>
      <c r="E8" s="283" t="n">
        <v>0</v>
      </c>
      <c r="F8" s="284">
        <f>D8-E8</f>
        <v/>
      </c>
      <c r="G8" s="285" t="n">
        <v>0.17</v>
      </c>
      <c r="H8" s="286">
        <f>SUM('Durée Prod'!G5)</f>
        <v/>
      </c>
      <c r="I8" s="286">
        <f>SUM(G8*12)</f>
        <v/>
      </c>
      <c r="J8" s="284">
        <f>G8*D8</f>
        <v/>
      </c>
      <c r="K8" s="284">
        <f>G8*E8</f>
        <v/>
      </c>
      <c r="L8" s="284">
        <f>F8*G8</f>
        <v/>
      </c>
      <c r="M8" s="284">
        <f>J8*12</f>
        <v/>
      </c>
      <c r="N8" s="284">
        <f>K8*12</f>
        <v/>
      </c>
      <c r="O8" s="284">
        <f>L8*12</f>
        <v/>
      </c>
      <c r="Q8" s="187" t="n">
        <v>0.12</v>
      </c>
    </row>
    <row r="9" ht="15" customHeight="1" thickBot="1">
      <c r="A9" s="232" t="inlineStr">
        <is>
          <t>Hébergement app de gestion (forfait annuel par app)</t>
        </is>
      </c>
      <c r="B9" s="283" t="n">
        <v>150</v>
      </c>
      <c r="C9" s="175" t="n">
        <v>0</v>
      </c>
      <c r="D9" s="284">
        <f>B9/(1+C9)</f>
        <v/>
      </c>
      <c r="E9" s="283" t="n">
        <v>40</v>
      </c>
      <c r="F9" s="284">
        <f>D9-E9</f>
        <v/>
      </c>
      <c r="G9" s="285" t="n">
        <v>0.17</v>
      </c>
      <c r="H9" s="286">
        <f>SUM('Durée Prod'!G6)</f>
        <v/>
      </c>
      <c r="I9" s="286">
        <f>SUM(G9*12)</f>
        <v/>
      </c>
      <c r="J9" s="284">
        <f>G9*D9</f>
        <v/>
      </c>
      <c r="K9" s="284">
        <f>G9*E9</f>
        <v/>
      </c>
      <c r="L9" s="284">
        <f>F9*G9</f>
        <v/>
      </c>
      <c r="M9" s="284">
        <f>J9*12</f>
        <v/>
      </c>
      <c r="N9" s="284">
        <f>K9*12</f>
        <v/>
      </c>
      <c r="O9" s="284">
        <f>L9*12</f>
        <v/>
      </c>
      <c r="Q9" s="188" t="n">
        <v>0.21</v>
      </c>
    </row>
    <row r="10">
      <c r="A10" s="232" t="inlineStr">
        <is>
          <t>Produit/Service 5</t>
        </is>
      </c>
      <c r="B10" s="283" t="n">
        <v>0</v>
      </c>
      <c r="C10" s="175" t="n">
        <v>0.21</v>
      </c>
      <c r="D10" s="284">
        <f>B10/(1+C10)</f>
        <v/>
      </c>
      <c r="E10" s="283" t="n">
        <v>0</v>
      </c>
      <c r="F10" s="284">
        <f>D10-E10</f>
        <v/>
      </c>
      <c r="G10" s="285" t="n"/>
      <c r="H10" s="286">
        <f>SUM('Durée Prod'!G7)</f>
        <v/>
      </c>
      <c r="I10" s="286">
        <f>SUM(G10*12)</f>
        <v/>
      </c>
      <c r="J10" s="284">
        <f>G10*D10</f>
        <v/>
      </c>
      <c r="K10" s="284">
        <f>G10*E10</f>
        <v/>
      </c>
      <c r="L10" s="284">
        <f>F10*G10</f>
        <v/>
      </c>
      <c r="M10" s="284">
        <f>J10*12</f>
        <v/>
      </c>
      <c r="N10" s="284">
        <f>K10*12</f>
        <v/>
      </c>
      <c r="O10" s="284">
        <f>L10*12</f>
        <v/>
      </c>
    </row>
    <row r="11">
      <c r="A11" s="232" t="inlineStr">
        <is>
          <t>Produit/Service 6</t>
        </is>
      </c>
      <c r="B11" s="283" t="n">
        <v>0</v>
      </c>
      <c r="C11" s="175" t="n">
        <v>0.21</v>
      </c>
      <c r="D11" s="284">
        <f>B11/(1+C11)</f>
        <v/>
      </c>
      <c r="E11" s="283" t="n">
        <v>0</v>
      </c>
      <c r="F11" s="284">
        <f>D11-E11</f>
        <v/>
      </c>
      <c r="G11" s="285" t="n"/>
      <c r="H11" s="286">
        <f>SUM('Durée Prod'!G8)</f>
        <v/>
      </c>
      <c r="I11" s="286">
        <f>SUM(G11*12)</f>
        <v/>
      </c>
      <c r="J11" s="284">
        <f>G11*D11</f>
        <v/>
      </c>
      <c r="K11" s="284">
        <f>G11*E11</f>
        <v/>
      </c>
      <c r="L11" s="284">
        <f>F11*G11</f>
        <v/>
      </c>
      <c r="M11" s="284">
        <f>J11*12</f>
        <v/>
      </c>
      <c r="N11" s="284">
        <f>K11*12</f>
        <v/>
      </c>
      <c r="O11" s="284">
        <f>L11*12</f>
        <v/>
      </c>
    </row>
    <row r="12">
      <c r="A12" s="232" t="inlineStr">
        <is>
          <t>Produit/Service 7</t>
        </is>
      </c>
      <c r="B12" s="283" t="n">
        <v>0</v>
      </c>
      <c r="C12" s="175" t="n">
        <v>0.21</v>
      </c>
      <c r="D12" s="284">
        <f>B12/(1+C12)</f>
        <v/>
      </c>
      <c r="E12" s="283" t="n">
        <v>0</v>
      </c>
      <c r="F12" s="284">
        <f>D12-E12</f>
        <v/>
      </c>
      <c r="G12" s="285" t="n"/>
      <c r="H12" s="286">
        <f>SUM('Durée Prod'!G9)</f>
        <v/>
      </c>
      <c r="I12" s="286">
        <f>SUM(G12*12)</f>
        <v/>
      </c>
      <c r="J12" s="284">
        <f>G12*D12</f>
        <v/>
      </c>
      <c r="K12" s="284">
        <f>G12*E12</f>
        <v/>
      </c>
      <c r="L12" s="284">
        <f>F12*G12</f>
        <v/>
      </c>
      <c r="M12" s="284">
        <f>J12*12</f>
        <v/>
      </c>
      <c r="N12" s="284">
        <f>K12*12</f>
        <v/>
      </c>
      <c r="O12" s="284">
        <f>L12*12</f>
        <v/>
      </c>
    </row>
    <row r="13">
      <c r="A13" s="232" t="inlineStr">
        <is>
          <t>Produit/Service 8</t>
        </is>
      </c>
      <c r="B13" s="283" t="n">
        <v>0</v>
      </c>
      <c r="C13" s="175" t="n">
        <v>0.21</v>
      </c>
      <c r="D13" s="284">
        <f>B13/(1+C13)</f>
        <v/>
      </c>
      <c r="E13" s="283" t="n">
        <v>0</v>
      </c>
      <c r="F13" s="284">
        <f>D13-E13</f>
        <v/>
      </c>
      <c r="G13" s="285" t="n"/>
      <c r="H13" s="286">
        <f>SUM('Durée Prod'!G10)</f>
        <v/>
      </c>
      <c r="I13" s="286">
        <f>SUM(G13*12)</f>
        <v/>
      </c>
      <c r="J13" s="284">
        <f>G13*D13</f>
        <v/>
      </c>
      <c r="K13" s="284">
        <f>G13*E13</f>
        <v/>
      </c>
      <c r="L13" s="284">
        <f>F13*G13</f>
        <v/>
      </c>
      <c r="M13" s="284">
        <f>J13*12</f>
        <v/>
      </c>
      <c r="N13" s="284">
        <f>K13*12</f>
        <v/>
      </c>
      <c r="O13" s="284">
        <f>L13*12</f>
        <v/>
      </c>
    </row>
    <row r="14">
      <c r="A14" s="232" t="inlineStr">
        <is>
          <t>Produit/Service 9</t>
        </is>
      </c>
      <c r="B14" s="283" t="n">
        <v>0</v>
      </c>
      <c r="C14" s="175" t="n">
        <v>0.21</v>
      </c>
      <c r="D14" s="284">
        <f>B14/(1+C14)</f>
        <v/>
      </c>
      <c r="E14" s="283" t="n">
        <v>0</v>
      </c>
      <c r="F14" s="284">
        <f>D14-E14</f>
        <v/>
      </c>
      <c r="G14" s="285" t="n"/>
      <c r="H14" s="286">
        <f>SUM('Durée Prod'!G11)</f>
        <v/>
      </c>
      <c r="I14" s="286">
        <f>SUM(G14*12)</f>
        <v/>
      </c>
      <c r="J14" s="284">
        <f>G14*D14</f>
        <v/>
      </c>
      <c r="K14" s="284">
        <f>G14*E14</f>
        <v/>
      </c>
      <c r="L14" s="284">
        <f>F14*G14</f>
        <v/>
      </c>
      <c r="M14" s="284">
        <f>J14*12</f>
        <v/>
      </c>
      <c r="N14" s="284">
        <f>K14*12</f>
        <v/>
      </c>
      <c r="O14" s="284">
        <f>L14*12</f>
        <v/>
      </c>
    </row>
    <row r="15">
      <c r="A15" s="232" t="inlineStr">
        <is>
          <t>Produit/Service 10</t>
        </is>
      </c>
      <c r="B15" s="283" t="n">
        <v>0</v>
      </c>
      <c r="C15" s="175" t="n">
        <v>0.21</v>
      </c>
      <c r="D15" s="284">
        <f>B15/(1+C15)</f>
        <v/>
      </c>
      <c r="E15" s="283" t="n">
        <v>0</v>
      </c>
      <c r="F15" s="284">
        <f>D15-E15</f>
        <v/>
      </c>
      <c r="G15" s="285" t="n"/>
      <c r="H15" s="286">
        <f>SUM('Durée Prod'!G12)</f>
        <v/>
      </c>
      <c r="I15" s="286">
        <f>SUM(G15*12)</f>
        <v/>
      </c>
      <c r="J15" s="284">
        <f>G15*D15</f>
        <v/>
      </c>
      <c r="K15" s="284">
        <f>G15*E15</f>
        <v/>
      </c>
      <c r="L15" s="284">
        <f>F15*G15</f>
        <v/>
      </c>
      <c r="M15" s="284">
        <f>J15*12</f>
        <v/>
      </c>
      <c r="N15" s="284">
        <f>K15*12</f>
        <v/>
      </c>
      <c r="O15" s="284">
        <f>L15*12</f>
        <v/>
      </c>
    </row>
    <row r="16">
      <c r="H16" s="146" t="n"/>
    </row>
    <row r="17">
      <c r="A17" s="207" t="inlineStr">
        <is>
          <t xml:space="preserve">&gt; Chaque projet doit définir ses unité de produits ou services. </t>
        </is>
      </c>
      <c r="E17" s="207" t="inlineStr">
        <is>
          <t xml:space="preserve">&gt; Les frais d'approvisionnement englobent aussi les frais variables liés au niveau d'activité. </t>
        </is>
      </c>
    </row>
  </sheetData>
  <dataValidations count="1">
    <dataValidation sqref="C6:C15" showDropDown="0" showInputMessage="1" showErrorMessage="1" allowBlank="1" type="list">
      <formula1>$Q$6:$Q$9</formula1>
    </dataValidation>
  </dataValidations>
  <pageMargins left="0.75" right="0.75" top="1" bottom="1" header="0.5" footer="0.5"/>
  <pageSetup orientation="portrait" paperSize="9" horizontalDpi="4294967292" verticalDpi="4294967292"/>
  <legacyDrawing xmlns:r="http://schemas.openxmlformats.org/officeDocument/2006/relationships" r:id="anysvml"/>
</worksheet>
</file>

<file path=xl/worksheets/sheet5.xml><?xml version="1.0" encoding="utf-8"?>
<worksheet xmlns="http://schemas.openxmlformats.org/spreadsheetml/2006/main">
  <sheetPr>
    <tabColor theme="7" tint="0.7999816888943144"/>
    <outlinePr summaryBelow="1" summaryRight="1"/>
    <pageSetUpPr/>
  </sheetPr>
  <dimension ref="A1:AN90"/>
  <sheetViews>
    <sheetView zoomScaleNormal="100" workbookViewId="0">
      <selection activeCell="C3" sqref="C3"/>
    </sheetView>
  </sheetViews>
  <sheetFormatPr baseColWidth="10" defaultRowHeight="16"/>
  <cols>
    <col width="51" customWidth="1" min="2" max="2"/>
    <col width="16.1640625" customWidth="1" min="3" max="3"/>
    <col hidden="1" width="16.1640625" customWidth="1" min="4" max="5"/>
    <col width="16.1640625" customWidth="1" style="156" min="6" max="7"/>
    <col width="16.1640625" customWidth="1" min="8" max="8"/>
    <col width="15.1640625" customWidth="1" style="156" min="9" max="9"/>
  </cols>
  <sheetData>
    <row r="1" ht="17" customHeight="1" thickBot="1">
      <c r="A1" s="203" t="n"/>
      <c r="B1" s="203" t="n"/>
      <c r="C1" s="203" t="n"/>
      <c r="D1" s="203" t="n"/>
      <c r="E1" s="203" t="n"/>
      <c r="F1" s="204" t="n"/>
      <c r="G1" s="204" t="n"/>
      <c r="H1" s="203" t="n"/>
      <c r="I1" s="204" t="n"/>
      <c r="J1" s="203" t="n"/>
      <c r="K1" s="203" t="n"/>
      <c r="L1" s="203" t="n"/>
      <c r="M1" s="203" t="n"/>
      <c r="N1" s="203" t="n"/>
      <c r="O1" s="203" t="n"/>
      <c r="P1" s="203" t="n"/>
      <c r="Q1" s="203" t="n"/>
      <c r="R1" s="203" t="n"/>
      <c r="S1" s="203" t="n"/>
      <c r="T1" s="203" t="n"/>
      <c r="U1" s="203" t="n"/>
      <c r="V1" s="203" t="n"/>
      <c r="W1" s="203" t="n"/>
      <c r="X1" s="203" t="n"/>
      <c r="Y1" s="203" t="n"/>
      <c r="Z1" s="203" t="n"/>
      <c r="AA1" s="203" t="n"/>
      <c r="AB1" s="203" t="n"/>
      <c r="AC1" s="203" t="n"/>
      <c r="AD1" s="203" t="n"/>
      <c r="AE1" s="203" t="n"/>
      <c r="AF1" s="203" t="n"/>
      <c r="AG1" s="203" t="n"/>
      <c r="AH1" s="203" t="n"/>
      <c r="AI1" s="203" t="n"/>
      <c r="AJ1" s="203" t="n"/>
      <c r="AK1" s="203" t="n"/>
      <c r="AL1" s="203" t="n"/>
      <c r="AM1" s="203" t="n"/>
      <c r="AN1" s="203" t="n"/>
    </row>
    <row r="2" ht="72" customHeight="1" thickBot="1">
      <c r="A2" s="203" t="n"/>
      <c r="B2" s="189" t="inlineStr">
        <is>
          <t>Durée de production</t>
        </is>
      </c>
      <c r="C2" s="211" t="inlineStr">
        <is>
          <t>Temps de production unitaire en heure</t>
        </is>
      </c>
      <c r="D2" s="212" t="inlineStr">
        <is>
          <t>nb d'unités ou de participants</t>
        </is>
      </c>
      <c r="E2" s="212" t="inlineStr">
        <is>
          <t>Unités vendues ou nb participants/mois</t>
        </is>
      </c>
      <c r="F2" s="212" t="inlineStr">
        <is>
          <t>Unités prestés/mois</t>
        </is>
      </c>
      <c r="G2" s="212" t="inlineStr">
        <is>
          <t>Temps de production total investi</t>
        </is>
      </c>
      <c r="H2" s="213" t="inlineStr">
        <is>
          <t>Marge Brute par heure</t>
        </is>
      </c>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row>
    <row r="3" ht="17" customHeight="1" thickBot="1">
      <c r="A3" s="203" t="n"/>
      <c r="B3" s="193">
        <f>'CA et Marge Brute'!A6</f>
        <v/>
      </c>
      <c r="C3" s="194" t="n">
        <v>40</v>
      </c>
      <c r="D3" s="190" t="inlineStr">
        <is>
          <t>1</t>
        </is>
      </c>
      <c r="E3" s="191">
        <f>'CA et Marge Brute'!G6</f>
        <v/>
      </c>
      <c r="F3" s="192">
        <f>E3/D3</f>
        <v/>
      </c>
      <c r="G3" s="192">
        <f>C3*F3</f>
        <v/>
      </c>
      <c r="H3" s="287">
        <f>IF(F3=0,0,'CA et Marge Brute'!L6/'Durée Prod'!G3)</f>
        <v/>
      </c>
      <c r="I3" s="203" t="n"/>
      <c r="J3" s="203" t="n"/>
      <c r="K3" s="203" t="n"/>
      <c r="L3" s="203" t="n"/>
      <c r="M3" s="203" t="n"/>
      <c r="N3" s="203" t="n"/>
      <c r="O3" s="203" t="n"/>
      <c r="P3" s="203" t="n"/>
      <c r="Q3" s="203" t="n"/>
      <c r="R3" s="203" t="n"/>
      <c r="S3" s="203" t="n"/>
      <c r="T3" s="203" t="n"/>
      <c r="U3" s="203" t="n"/>
      <c r="V3" s="203" t="n"/>
      <c r="W3" s="203" t="n"/>
      <c r="X3" s="203" t="n"/>
      <c r="Y3" s="203" t="n"/>
      <c r="Z3" s="203" t="n"/>
      <c r="AA3" s="203" t="n"/>
      <c r="AB3" s="203" t="n"/>
      <c r="AC3" s="203" t="n"/>
      <c r="AD3" s="203" t="n"/>
      <c r="AE3" s="203" t="n"/>
      <c r="AF3" s="203" t="n"/>
      <c r="AG3" s="203" t="n"/>
      <c r="AH3" s="203" t="n"/>
    </row>
    <row r="4" ht="17" customHeight="1" thickBot="1">
      <c r="A4" s="203" t="n"/>
      <c r="B4" s="193">
        <f>'CA et Marge Brute'!A7</f>
        <v/>
      </c>
      <c r="C4" s="195" t="n">
        <v>2</v>
      </c>
      <c r="D4" s="152" t="inlineStr">
        <is>
          <t>1</t>
        </is>
      </c>
      <c r="E4" s="153">
        <f>'CA et Marge Brute'!G7</f>
        <v/>
      </c>
      <c r="F4" s="154">
        <f>E4/D4</f>
        <v/>
      </c>
      <c r="G4" s="154">
        <f>C4*F4</f>
        <v/>
      </c>
      <c r="H4" s="288">
        <f>IF(F4=0,0,'CA et Marge Brute'!L7/'Durée Prod'!G4)</f>
        <v/>
      </c>
      <c r="I4" s="203" t="n"/>
      <c r="J4" s="203" t="n"/>
      <c r="K4" s="203" t="n"/>
      <c r="L4" s="203" t="n"/>
      <c r="M4" s="203" t="n"/>
      <c r="N4" s="203" t="n"/>
      <c r="O4" s="203" t="n"/>
      <c r="P4" s="203" t="n"/>
      <c r="Q4" s="203" t="n"/>
      <c r="R4" s="203" t="n"/>
      <c r="S4" s="203" t="n"/>
      <c r="T4" s="203" t="n"/>
      <c r="U4" s="203" t="n"/>
      <c r="V4" s="203" t="n"/>
      <c r="W4" s="203" t="n"/>
      <c r="X4" s="203" t="n"/>
      <c r="Y4" s="203" t="n"/>
      <c r="Z4" s="203" t="n"/>
      <c r="AA4" s="203" t="n"/>
      <c r="AB4" s="203" t="n"/>
      <c r="AC4" s="203" t="n"/>
      <c r="AD4" s="203" t="n"/>
      <c r="AE4" s="203" t="n"/>
      <c r="AF4" s="203" t="n"/>
      <c r="AG4" s="203" t="n"/>
      <c r="AH4" s="203" t="n"/>
    </row>
    <row r="5" ht="17" customHeight="1" thickBot="1">
      <c r="A5" s="203" t="n"/>
      <c r="B5" s="193">
        <f>'CA et Marge Brute'!A8</f>
        <v/>
      </c>
      <c r="C5" s="195" t="n">
        <v>100</v>
      </c>
      <c r="D5" s="152" t="inlineStr">
        <is>
          <t>1</t>
        </is>
      </c>
      <c r="E5" s="153">
        <f>'CA et Marge Brute'!G8</f>
        <v/>
      </c>
      <c r="F5" s="154">
        <f>E5/D5</f>
        <v/>
      </c>
      <c r="G5" s="154">
        <f>C5*F5</f>
        <v/>
      </c>
      <c r="H5" s="288">
        <f>IF(F5=0,0,'CA et Marge Brute'!L8/'Durée Prod'!G5)</f>
        <v/>
      </c>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row>
    <row r="6" ht="17" customHeight="1" thickBot="1">
      <c r="A6" s="203" t="n"/>
      <c r="B6" s="193">
        <f>'CA et Marge Brute'!A9</f>
        <v/>
      </c>
      <c r="C6" s="195" t="n">
        <v>3</v>
      </c>
      <c r="D6" s="152" t="inlineStr">
        <is>
          <t>1</t>
        </is>
      </c>
      <c r="E6" s="153">
        <f>'CA et Marge Brute'!G9</f>
        <v/>
      </c>
      <c r="F6" s="154">
        <f>E6/D6</f>
        <v/>
      </c>
      <c r="G6" s="154">
        <f>C6*F6</f>
        <v/>
      </c>
      <c r="H6" s="288">
        <f>IF(F6=0,0,'CA et Marge Brute'!L9/'Durée Prod'!G6)</f>
        <v/>
      </c>
      <c r="I6" s="203" t="n"/>
      <c r="J6" s="203" t="n"/>
      <c r="K6" s="203" t="n"/>
      <c r="L6" s="203" t="n"/>
      <c r="M6" s="203" t="n"/>
      <c r="N6" s="203" t="n"/>
      <c r="O6" s="203" t="n"/>
      <c r="P6" s="203" t="n"/>
      <c r="Q6" s="203" t="n"/>
      <c r="R6" s="203" t="n"/>
      <c r="S6" s="203" t="n"/>
      <c r="T6" s="203" t="n"/>
      <c r="U6" s="203" t="n"/>
      <c r="V6" s="203" t="n"/>
      <c r="W6" s="203" t="n"/>
      <c r="X6" s="203" t="n"/>
      <c r="Y6" s="203" t="n"/>
      <c r="Z6" s="203" t="n"/>
      <c r="AA6" s="203" t="n"/>
      <c r="AB6" s="203" t="n"/>
      <c r="AC6" s="203" t="n"/>
      <c r="AD6" s="203" t="n"/>
      <c r="AE6" s="203" t="n"/>
      <c r="AF6" s="203" t="n"/>
      <c r="AG6" s="203" t="n"/>
      <c r="AH6" s="203" t="n"/>
    </row>
    <row r="7" ht="17" customHeight="1" thickBot="1">
      <c r="A7" s="203" t="n"/>
      <c r="B7" s="193">
        <f>'CA et Marge Brute'!A10</f>
        <v/>
      </c>
      <c r="C7" s="195" t="n"/>
      <c r="D7" s="152" t="inlineStr">
        <is>
          <t>1</t>
        </is>
      </c>
      <c r="E7" s="153">
        <f>'CA et Marge Brute'!G10</f>
        <v/>
      </c>
      <c r="F7" s="154">
        <f>E7/D7</f>
        <v/>
      </c>
      <c r="G7" s="154">
        <f>C7*F7</f>
        <v/>
      </c>
      <c r="H7" s="288">
        <f>IF(F7=0,0,'CA et Marge Brute'!L10/'Durée Prod'!G7)</f>
        <v/>
      </c>
      <c r="I7" s="203" t="n"/>
      <c r="J7" s="203" t="n"/>
      <c r="K7" s="203" t="n"/>
      <c r="L7" s="203" t="n"/>
      <c r="M7" s="203" t="n"/>
      <c r="N7" s="203" t="n"/>
      <c r="O7" s="203" t="n"/>
      <c r="P7" s="203" t="n"/>
      <c r="Q7" s="203" t="n"/>
      <c r="R7" s="203" t="n"/>
      <c r="S7" s="203" t="n"/>
      <c r="T7" s="203" t="n"/>
      <c r="U7" s="203" t="n"/>
      <c r="V7" s="203" t="n"/>
      <c r="W7" s="203" t="n"/>
      <c r="X7" s="203" t="n"/>
      <c r="Y7" s="203" t="n"/>
      <c r="Z7" s="203" t="n"/>
      <c r="AA7" s="203" t="n"/>
      <c r="AB7" s="203" t="n"/>
      <c r="AC7" s="203" t="n"/>
      <c r="AD7" s="203" t="n"/>
      <c r="AE7" s="203" t="n"/>
      <c r="AF7" s="203" t="n"/>
      <c r="AG7" s="203" t="n"/>
      <c r="AH7" s="203" t="n"/>
    </row>
    <row r="8" ht="17" customHeight="1" thickBot="1">
      <c r="A8" s="203" t="n"/>
      <c r="B8" s="193">
        <f>'CA et Marge Brute'!A11</f>
        <v/>
      </c>
      <c r="C8" s="195" t="n"/>
      <c r="D8" s="152" t="inlineStr">
        <is>
          <t>1</t>
        </is>
      </c>
      <c r="E8" s="153">
        <f>'CA et Marge Brute'!G11</f>
        <v/>
      </c>
      <c r="F8" s="154">
        <f>E8/D8</f>
        <v/>
      </c>
      <c r="G8" s="154">
        <f>C8*F8</f>
        <v/>
      </c>
      <c r="H8" s="288">
        <f>IF(F8=0,0,'CA et Marge Brute'!L11/'Durée Prod'!G8)</f>
        <v/>
      </c>
      <c r="I8" s="203" t="n"/>
      <c r="J8" s="203" t="n"/>
      <c r="K8" s="203" t="n"/>
      <c r="L8" s="203" t="n"/>
      <c r="M8" s="203" t="n"/>
      <c r="N8" s="203" t="n"/>
      <c r="O8" s="203" t="n"/>
      <c r="P8" s="203" t="n"/>
      <c r="Q8" s="203" t="n"/>
      <c r="R8" s="203" t="n"/>
      <c r="S8" s="203" t="n"/>
      <c r="T8" s="203" t="n"/>
      <c r="U8" s="203" t="n"/>
      <c r="V8" s="203" t="n"/>
      <c r="W8" s="203" t="n"/>
      <c r="X8" s="203" t="n"/>
      <c r="Y8" s="203" t="n"/>
      <c r="Z8" s="203" t="n"/>
      <c r="AA8" s="203" t="n"/>
      <c r="AB8" s="203" t="n"/>
      <c r="AC8" s="203" t="n"/>
      <c r="AD8" s="203" t="n"/>
      <c r="AE8" s="203" t="n"/>
      <c r="AF8" s="203" t="n"/>
      <c r="AG8" s="203" t="n"/>
      <c r="AH8" s="203" t="n"/>
    </row>
    <row r="9" ht="17" customHeight="1" thickBot="1">
      <c r="A9" s="203" t="n"/>
      <c r="B9" s="193">
        <f>'CA et Marge Brute'!A12</f>
        <v/>
      </c>
      <c r="C9" s="195" t="n"/>
      <c r="D9" s="152" t="inlineStr">
        <is>
          <t>1</t>
        </is>
      </c>
      <c r="E9" s="153">
        <f>'CA et Marge Brute'!G12</f>
        <v/>
      </c>
      <c r="F9" s="154">
        <f>E9/D9</f>
        <v/>
      </c>
      <c r="G9" s="154">
        <f>C9*F9</f>
        <v/>
      </c>
      <c r="H9" s="288">
        <f>IF(F9=0,0,'CA et Marge Brute'!L12/'Durée Prod'!G9)</f>
        <v/>
      </c>
      <c r="I9" s="203" t="n"/>
      <c r="J9" s="203" t="n"/>
      <c r="K9" s="203" t="n"/>
      <c r="L9" s="203" t="n"/>
      <c r="M9" s="203" t="n"/>
      <c r="N9" s="203" t="n"/>
      <c r="O9" s="203" t="n"/>
      <c r="P9" s="203" t="n"/>
      <c r="Q9" s="203" t="n"/>
      <c r="R9" s="203" t="n"/>
      <c r="S9" s="203" t="n"/>
      <c r="T9" s="203" t="n"/>
      <c r="U9" s="203" t="n"/>
      <c r="V9" s="203" t="n"/>
      <c r="W9" s="203" t="n"/>
      <c r="X9" s="203" t="n"/>
      <c r="Y9" s="203" t="n"/>
      <c r="Z9" s="203" t="n"/>
      <c r="AA9" s="203" t="n"/>
      <c r="AB9" s="203" t="n"/>
      <c r="AC9" s="203" t="n"/>
      <c r="AD9" s="203" t="n"/>
      <c r="AE9" s="203" t="n"/>
      <c r="AF9" s="203" t="n"/>
      <c r="AG9" s="203" t="n"/>
      <c r="AH9" s="203" t="n"/>
    </row>
    <row r="10" ht="17" customHeight="1" thickBot="1">
      <c r="A10" s="203" t="n"/>
      <c r="B10" s="193">
        <f>'CA et Marge Brute'!A13</f>
        <v/>
      </c>
      <c r="C10" s="195" t="n"/>
      <c r="D10" s="152" t="inlineStr">
        <is>
          <t>1</t>
        </is>
      </c>
      <c r="E10" s="153">
        <f>'CA et Marge Brute'!G13</f>
        <v/>
      </c>
      <c r="F10" s="154">
        <f>E10/D10</f>
        <v/>
      </c>
      <c r="G10" s="154">
        <f>C10*F10</f>
        <v/>
      </c>
      <c r="H10" s="288">
        <f>IF(F10=0,0,'CA et Marge Brute'!L13/'Durée Prod'!G10)</f>
        <v/>
      </c>
      <c r="I10" s="203" t="n"/>
      <c r="J10" s="203" t="n"/>
      <c r="K10" s="203" t="n"/>
      <c r="L10" s="203" t="n"/>
      <c r="M10" s="203" t="n"/>
      <c r="N10" s="203" t="n"/>
      <c r="O10" s="203" t="n"/>
      <c r="P10" s="203" t="n"/>
      <c r="Q10" s="203" t="n"/>
      <c r="R10" s="203" t="n"/>
      <c r="S10" s="203" t="n"/>
      <c r="T10" s="203" t="n"/>
      <c r="U10" s="203" t="n"/>
      <c r="V10" s="203" t="n"/>
      <c r="W10" s="203" t="n"/>
      <c r="X10" s="203" t="n"/>
      <c r="Y10" s="203" t="n"/>
      <c r="Z10" s="203" t="n"/>
      <c r="AA10" s="203" t="n"/>
      <c r="AB10" s="203" t="n"/>
      <c r="AC10" s="203" t="n"/>
      <c r="AD10" s="203" t="n"/>
      <c r="AE10" s="203" t="n"/>
      <c r="AF10" s="203" t="n"/>
      <c r="AG10" s="203" t="n"/>
      <c r="AH10" s="203" t="n"/>
    </row>
    <row r="11" ht="17" customHeight="1" thickBot="1">
      <c r="A11" s="203" t="n"/>
      <c r="B11" s="193">
        <f>'CA et Marge Brute'!A14</f>
        <v/>
      </c>
      <c r="C11" s="195" t="n"/>
      <c r="D11" s="152" t="inlineStr">
        <is>
          <t>1</t>
        </is>
      </c>
      <c r="E11" s="153">
        <f>'CA et Marge Brute'!G14</f>
        <v/>
      </c>
      <c r="F11" s="154">
        <f>E11/D11</f>
        <v/>
      </c>
      <c r="G11" s="154">
        <f>C11*F11</f>
        <v/>
      </c>
      <c r="H11" s="288">
        <f>IF(F11=0,0,'CA et Marge Brute'!L14/'Durée Prod'!G11)</f>
        <v/>
      </c>
      <c r="I11" s="203" t="n"/>
      <c r="J11" s="203" t="n"/>
      <c r="K11" s="203" t="n"/>
      <c r="L11" s="203" t="n"/>
      <c r="M11" s="203" t="n"/>
      <c r="N11" s="203" t="n"/>
      <c r="O11" s="203" t="n"/>
      <c r="P11" s="203" t="n"/>
      <c r="Q11" s="203" t="n"/>
      <c r="R11" s="203" t="n"/>
      <c r="S11" s="203" t="n"/>
      <c r="T11" s="203" t="n"/>
      <c r="U11" s="203" t="n"/>
      <c r="V11" s="203" t="n"/>
      <c r="W11" s="203" t="n"/>
      <c r="X11" s="203" t="n"/>
      <c r="Y11" s="203" t="n"/>
      <c r="Z11" s="203" t="n"/>
      <c r="AA11" s="203" t="n"/>
      <c r="AB11" s="203" t="n"/>
      <c r="AC11" s="203" t="n"/>
      <c r="AD11" s="203" t="n"/>
      <c r="AE11" s="203" t="n"/>
      <c r="AF11" s="203" t="n"/>
      <c r="AG11" s="203" t="n"/>
      <c r="AH11" s="203" t="n"/>
    </row>
    <row r="12" ht="17" customHeight="1" thickBot="1">
      <c r="A12" s="203" t="n"/>
      <c r="B12" s="193">
        <f>'CA et Marge Brute'!A15</f>
        <v/>
      </c>
      <c r="C12" s="198" t="n"/>
      <c r="D12" s="199" t="inlineStr">
        <is>
          <t>1</t>
        </is>
      </c>
      <c r="E12" s="200">
        <f>'CA et Marge Brute'!G15</f>
        <v/>
      </c>
      <c r="F12" s="201">
        <f>E12/D12</f>
        <v/>
      </c>
      <c r="G12" s="201">
        <f>C12*F12</f>
        <v/>
      </c>
      <c r="H12" s="289">
        <f>IF(F12=0,0,'CA et Marge Brute'!L15/'Durée Prod'!G12)</f>
        <v/>
      </c>
      <c r="I12" s="203" t="n"/>
      <c r="J12" s="203" t="n"/>
      <c r="K12" s="203" t="n"/>
      <c r="L12" s="203" t="n"/>
      <c r="M12" s="203" t="n"/>
      <c r="N12" s="203" t="n"/>
      <c r="O12" s="203" t="n"/>
      <c r="P12" s="203" t="n"/>
      <c r="Q12" s="203" t="n"/>
      <c r="R12" s="203" t="n"/>
      <c r="S12" s="203" t="n"/>
      <c r="T12" s="203" t="n"/>
      <c r="U12" s="203" t="n"/>
      <c r="V12" s="203" t="n"/>
      <c r="W12" s="203" t="n"/>
      <c r="X12" s="203" t="n"/>
      <c r="Y12" s="203" t="n"/>
      <c r="Z12" s="203" t="n"/>
      <c r="AA12" s="203" t="n"/>
      <c r="AB12" s="203" t="n"/>
      <c r="AC12" s="203" t="n"/>
      <c r="AD12" s="203" t="n"/>
      <c r="AE12" s="203" t="n"/>
      <c r="AF12" s="203" t="n"/>
      <c r="AG12" s="203" t="n"/>
      <c r="AH12" s="203" t="n"/>
    </row>
    <row r="13">
      <c r="A13" s="203" t="n"/>
      <c r="B13" s="196" t="inlineStr">
        <is>
          <t>Temps dédié à l'Administratif *</t>
        </is>
      </c>
      <c r="C13" s="290" t="n"/>
      <c r="D13" s="291" t="n"/>
      <c r="E13" s="291" t="n"/>
      <c r="F13" s="292" t="n"/>
      <c r="G13" s="197" t="n">
        <v>15</v>
      </c>
      <c r="H13" s="208" t="inlineStr">
        <is>
          <t>*</t>
        </is>
      </c>
      <c r="I13" s="203" t="n"/>
      <c r="J13" s="203" t="n"/>
      <c r="K13" s="203" t="n"/>
      <c r="L13" s="203" t="n"/>
      <c r="M13" s="203" t="n"/>
      <c r="N13" s="203" t="n"/>
      <c r="O13" s="203" t="n"/>
      <c r="P13" s="203" t="n"/>
      <c r="Q13" s="203" t="n"/>
      <c r="R13" s="203" t="n"/>
      <c r="S13" s="203" t="n"/>
      <c r="T13" s="203" t="n"/>
      <c r="U13" s="203" t="n"/>
      <c r="V13" s="203" t="n"/>
      <c r="W13" s="203" t="n"/>
      <c r="X13" s="203" t="n"/>
      <c r="Y13" s="203" t="n"/>
      <c r="Z13" s="203" t="n"/>
      <c r="AA13" s="203" t="n"/>
      <c r="AB13" s="203" t="n"/>
      <c r="AC13" s="203" t="n"/>
      <c r="AD13" s="203" t="n"/>
      <c r="AE13" s="203" t="n"/>
      <c r="AF13" s="203" t="n"/>
      <c r="AG13" s="203" t="n"/>
      <c r="AH13" s="203" t="n"/>
    </row>
    <row r="14">
      <c r="A14" s="203" t="n"/>
      <c r="B14" s="196" t="inlineStr">
        <is>
          <t>Temps dédié à la Prospection*</t>
        </is>
      </c>
      <c r="C14" s="293" t="n"/>
      <c r="D14" s="294" t="n"/>
      <c r="E14" s="294" t="n"/>
      <c r="F14" s="295" t="n"/>
      <c r="G14" s="197" t="n">
        <v>15</v>
      </c>
      <c r="H14" s="208" t="inlineStr">
        <is>
          <t>*</t>
        </is>
      </c>
      <c r="I14" s="203" t="n"/>
      <c r="J14" s="203" t="n"/>
      <c r="K14" s="203" t="n"/>
      <c r="L14" s="203" t="n"/>
      <c r="M14" s="203" t="n"/>
      <c r="N14" s="203" t="n"/>
      <c r="O14" s="203" t="n"/>
      <c r="P14" s="203" t="n"/>
      <c r="Q14" s="203" t="n"/>
      <c r="R14" s="203" t="n"/>
      <c r="S14" s="203" t="n"/>
      <c r="T14" s="203" t="n"/>
      <c r="U14" s="203" t="n"/>
      <c r="V14" s="203" t="n"/>
      <c r="W14" s="203" t="n"/>
      <c r="X14" s="203" t="n"/>
      <c r="Y14" s="203" t="n"/>
      <c r="Z14" s="203" t="n"/>
      <c r="AA14" s="203" t="n"/>
      <c r="AB14" s="203" t="n"/>
      <c r="AC14" s="203" t="n"/>
      <c r="AD14" s="203" t="n"/>
      <c r="AE14" s="203" t="n"/>
      <c r="AF14" s="203" t="n"/>
      <c r="AG14" s="203" t="n"/>
      <c r="AH14" s="203" t="n"/>
    </row>
    <row r="15">
      <c r="A15" s="203" t="n"/>
      <c r="B15" s="196" t="inlineStr">
        <is>
          <t>Temps dédié à la COM*</t>
        </is>
      </c>
      <c r="C15" s="256" t="n"/>
      <c r="D15" s="257" t="n"/>
      <c r="E15" s="257" t="n"/>
      <c r="F15" s="258" t="n"/>
      <c r="G15" s="197" t="n">
        <v>10</v>
      </c>
      <c r="H15" s="208" t="inlineStr">
        <is>
          <t>*</t>
        </is>
      </c>
      <c r="I15" s="203" t="n"/>
      <c r="J15" s="203" t="n"/>
      <c r="K15" s="203" t="n"/>
      <c r="L15" s="203" t="n"/>
      <c r="M15" s="203" t="n"/>
      <c r="N15" s="203" t="n"/>
      <c r="O15" s="203" t="n"/>
      <c r="P15" s="203" t="n"/>
      <c r="Q15" s="203" t="n"/>
      <c r="R15" s="203" t="n"/>
      <c r="S15" s="203" t="n"/>
      <c r="T15" s="203" t="n"/>
      <c r="U15" s="203" t="n"/>
      <c r="V15" s="203" t="n"/>
      <c r="W15" s="203" t="n"/>
      <c r="X15" s="203" t="n"/>
      <c r="Y15" s="203" t="n"/>
      <c r="Z15" s="203" t="n"/>
      <c r="AA15" s="203" t="n"/>
      <c r="AB15" s="203" t="n"/>
      <c r="AC15" s="203" t="n"/>
      <c r="AD15" s="203" t="n"/>
      <c r="AE15" s="203" t="n"/>
      <c r="AF15" s="203" t="n"/>
      <c r="AG15" s="203" t="n"/>
      <c r="AH15" s="203" t="n"/>
    </row>
    <row r="16">
      <c r="A16" s="203" t="n"/>
      <c r="B16" s="196" t="inlineStr">
        <is>
          <t>Temps dédié à ,,,*</t>
        </is>
      </c>
      <c r="C16" s="293" t="n"/>
      <c r="D16" s="294" t="n"/>
      <c r="E16" s="294" t="n"/>
      <c r="F16" s="295" t="n"/>
      <c r="G16" s="197" t="n"/>
      <c r="H16" s="208" t="inlineStr">
        <is>
          <t>*</t>
        </is>
      </c>
      <c r="I16" s="203" t="n"/>
      <c r="J16" s="203" t="n"/>
      <c r="K16" s="203" t="n"/>
      <c r="L16" s="203" t="n"/>
      <c r="M16" s="203" t="n"/>
      <c r="N16" s="203" t="n"/>
      <c r="O16" s="203" t="n"/>
      <c r="P16" s="203" t="n"/>
      <c r="Q16" s="203" t="n"/>
      <c r="R16" s="203" t="n"/>
      <c r="S16" s="203" t="n"/>
      <c r="T16" s="203" t="n"/>
      <c r="U16" s="203" t="n"/>
      <c r="V16" s="203" t="n"/>
      <c r="W16" s="203" t="n"/>
      <c r="X16" s="203" t="n"/>
      <c r="Y16" s="203" t="n"/>
      <c r="Z16" s="203" t="n"/>
      <c r="AA16" s="203" t="n"/>
      <c r="AB16" s="203" t="n"/>
      <c r="AC16" s="203" t="n"/>
      <c r="AD16" s="203" t="n"/>
      <c r="AE16" s="203" t="n"/>
      <c r="AF16" s="203" t="n"/>
      <c r="AG16" s="203" t="n"/>
      <c r="AH16" s="203" t="n"/>
    </row>
    <row r="17" ht="17" customHeight="1" thickBot="1">
      <c r="A17" s="203" t="n"/>
      <c r="B17" s="196" t="inlineStr">
        <is>
          <t>Temps dédié à ,,,*</t>
        </is>
      </c>
      <c r="C17" s="293" t="n"/>
      <c r="D17" s="294" t="n"/>
      <c r="E17" s="294" t="n"/>
      <c r="F17" s="295" t="n"/>
      <c r="G17" s="197" t="n"/>
      <c r="H17" s="208" t="inlineStr">
        <is>
          <t>*</t>
        </is>
      </c>
      <c r="I17" s="203" t="n"/>
      <c r="J17" s="203" t="n"/>
      <c r="K17" s="203" t="n"/>
      <c r="L17" s="203" t="n"/>
      <c r="M17" s="203" t="n"/>
      <c r="N17" s="203" t="n"/>
      <c r="O17" s="203" t="n"/>
      <c r="P17" s="203" t="n"/>
      <c r="Q17" s="203" t="n"/>
      <c r="R17" s="203" t="n"/>
      <c r="S17" s="203" t="n"/>
      <c r="T17" s="203" t="n"/>
      <c r="U17" s="203" t="n"/>
      <c r="V17" s="203" t="n"/>
      <c r="W17" s="203" t="n"/>
      <c r="X17" s="203" t="n"/>
      <c r="Y17" s="203" t="n"/>
      <c r="Z17" s="203" t="n"/>
      <c r="AA17" s="203" t="n"/>
      <c r="AB17" s="203" t="n"/>
      <c r="AC17" s="203" t="n"/>
      <c r="AD17" s="203" t="n"/>
      <c r="AE17" s="203" t="n"/>
      <c r="AF17" s="203" t="n"/>
      <c r="AG17" s="203" t="n"/>
      <c r="AH17" s="203" t="n"/>
    </row>
    <row r="18" ht="17" customHeight="1" thickBot="1">
      <c r="A18" s="203" t="n"/>
      <c r="B18" s="144" t="inlineStr">
        <is>
          <t>Somme totale des H PREVUES</t>
        </is>
      </c>
      <c r="C18" s="205" t="n"/>
      <c r="D18" s="205" t="n"/>
      <c r="E18" s="205" t="n"/>
      <c r="F18" s="206" t="n"/>
      <c r="G18" s="155">
        <f>SUM(G3:G17)</f>
        <v/>
      </c>
      <c r="H18" s="209" t="n"/>
      <c r="I18" s="203" t="n"/>
      <c r="J18" s="203" t="n"/>
      <c r="K18" s="203" t="n"/>
      <c r="L18" s="203" t="n"/>
      <c r="M18" s="203" t="n"/>
      <c r="N18" s="203" t="n"/>
      <c r="O18" s="203" t="n"/>
      <c r="P18" s="203" t="n"/>
      <c r="Q18" s="203" t="n"/>
      <c r="R18" s="203" t="n"/>
      <c r="S18" s="203" t="n"/>
      <c r="T18" s="203" t="n"/>
      <c r="U18" s="203" t="n"/>
      <c r="V18" s="203" t="n"/>
      <c r="W18" s="203" t="n"/>
      <c r="X18" s="203" t="n"/>
      <c r="Y18" s="203" t="n"/>
      <c r="Z18" s="203" t="n"/>
      <c r="AA18" s="203" t="n"/>
      <c r="AB18" s="203" t="n"/>
      <c r="AC18" s="203" t="n"/>
      <c r="AD18" s="203" t="n"/>
      <c r="AE18" s="203" t="n"/>
      <c r="AF18" s="203" t="n"/>
      <c r="AG18" s="203" t="n"/>
      <c r="AH18" s="203" t="n"/>
    </row>
    <row r="19" ht="17" customHeight="1" thickBot="1">
      <c r="A19" s="203" t="n"/>
      <c r="B19" s="202" t="inlineStr">
        <is>
          <t>Heures dispo / mois (référent) *</t>
        </is>
      </c>
      <c r="C19" s="205" t="inlineStr">
        <is>
          <t>&lt; 4,2</t>
        </is>
      </c>
      <c r="D19" s="205" t="n"/>
      <c r="E19" s="205" t="n"/>
      <c r="F19" s="206" t="n"/>
      <c r="G19" s="226" t="n">
        <v>100</v>
      </c>
      <c r="H19" s="207" t="inlineStr">
        <is>
          <t>&gt; à complèter selon le temps de travail souhaité</t>
        </is>
      </c>
      <c r="I19" s="210" t="n"/>
      <c r="J19" s="203" t="n"/>
      <c r="K19" s="233" t="inlineStr">
        <is>
          <t>168 = équivalent 40h/sem, 4,2semaines/mois = 1ETP</t>
        </is>
      </c>
      <c r="L19" s="203" t="n"/>
      <c r="M19" s="203" t="n"/>
      <c r="N19" s="203" t="n"/>
      <c r="O19" s="203" t="n"/>
      <c r="P19" s="203" t="n"/>
      <c r="Q19" s="203" t="n"/>
      <c r="R19" s="203" t="n"/>
      <c r="S19" s="203" t="n"/>
      <c r="T19" s="203" t="n"/>
      <c r="U19" s="203" t="n"/>
      <c r="V19" s="203" t="n"/>
      <c r="W19" s="203" t="n"/>
      <c r="X19" s="203" t="n"/>
      <c r="Y19" s="203" t="n"/>
      <c r="Z19" s="203" t="n"/>
      <c r="AA19" s="203" t="n"/>
      <c r="AB19" s="203" t="n"/>
      <c r="AC19" s="203" t="n"/>
      <c r="AD19" s="203" t="n"/>
      <c r="AE19" s="203" t="n"/>
      <c r="AF19" s="203" t="n"/>
      <c r="AG19" s="203" t="n"/>
      <c r="AH19" s="203" t="n"/>
    </row>
    <row r="20" ht="17" customHeight="1" thickBot="1">
      <c r="A20" s="203" t="n"/>
      <c r="B20" s="144" t="inlineStr">
        <is>
          <t xml:space="preserve">Restent disponibles &gt; </t>
        </is>
      </c>
      <c r="C20" s="205" t="n"/>
      <c r="D20" s="205" t="n"/>
      <c r="E20" s="205" t="n"/>
      <c r="F20" s="206" t="n"/>
      <c r="G20" s="155">
        <f>G19-G18</f>
        <v/>
      </c>
      <c r="I20" s="210" t="n"/>
      <c r="J20" s="203" t="n"/>
      <c r="K20" s="233" t="inlineStr">
        <is>
          <t>134 = équivalent 32h/sem, 4,2semaines/mois = 4/5 ETP</t>
        </is>
      </c>
      <c r="L20" s="203" t="n"/>
      <c r="M20" s="203" t="n"/>
      <c r="N20" s="203" t="n"/>
      <c r="O20" s="203" t="n"/>
      <c r="P20" s="203" t="n"/>
      <c r="Q20" s="203" t="n"/>
      <c r="R20" s="203" t="n"/>
      <c r="S20" s="203" t="n"/>
      <c r="T20" s="203" t="n"/>
      <c r="U20" s="203" t="n"/>
      <c r="V20" s="203" t="n"/>
      <c r="W20" s="203" t="n"/>
      <c r="X20" s="203" t="n"/>
      <c r="Y20" s="203" t="n"/>
      <c r="Z20" s="203" t="n"/>
      <c r="AA20" s="203" t="n"/>
      <c r="AB20" s="203" t="n"/>
      <c r="AC20" s="203" t="n"/>
      <c r="AD20" s="203" t="n"/>
      <c r="AE20" s="203" t="n"/>
      <c r="AF20" s="203" t="n"/>
      <c r="AG20" s="203" t="n"/>
      <c r="AH20" s="203" t="n"/>
    </row>
    <row r="21">
      <c r="A21" s="203" t="n"/>
      <c r="B21" s="205" t="n"/>
      <c r="C21" s="205" t="n"/>
      <c r="D21" s="205" t="n"/>
      <c r="E21" s="205" t="n"/>
      <c r="F21" s="206" t="n"/>
      <c r="G21" s="206" t="n"/>
      <c r="H21" s="204" t="n"/>
      <c r="I21" s="210" t="n"/>
      <c r="J21" s="203" t="n"/>
      <c r="K21" s="233" t="inlineStr">
        <is>
          <t>100 = équivalent 24h/sem, 4,2semaines/mois = 3/5 ETP</t>
        </is>
      </c>
      <c r="L21" s="203" t="n"/>
      <c r="M21" s="203" t="n"/>
      <c r="N21" s="203" t="n"/>
      <c r="O21" s="203" t="n"/>
      <c r="P21" s="203" t="n"/>
      <c r="Q21" s="203" t="n"/>
      <c r="R21" s="203" t="n"/>
      <c r="S21" s="203" t="n"/>
      <c r="T21" s="203" t="n"/>
      <c r="U21" s="203" t="n"/>
      <c r="V21" s="203" t="n"/>
      <c r="W21" s="203" t="n"/>
      <c r="X21" s="203" t="n"/>
      <c r="Y21" s="203" t="n"/>
      <c r="Z21" s="203" t="n"/>
      <c r="AA21" s="203" t="n"/>
      <c r="AB21" s="203" t="n"/>
      <c r="AC21" s="203" t="n"/>
      <c r="AD21" s="203" t="n"/>
      <c r="AE21" s="203" t="n"/>
      <c r="AF21" s="203" t="n"/>
      <c r="AG21" s="203" t="n"/>
      <c r="AH21" s="203" t="n"/>
      <c r="AI21" s="203" t="n"/>
      <c r="AJ21" s="203" t="n"/>
    </row>
    <row r="22">
      <c r="A22" s="203" t="n"/>
      <c r="B22" s="207" t="inlineStr">
        <is>
          <t>* Temps estimé en lancement de projet = +- 1/2 (admin + prospection + communication + … = heures invisibles) et +/- 1/2 facturable</t>
        </is>
      </c>
      <c r="C22" s="207" t="n"/>
      <c r="D22" s="205" t="n"/>
      <c r="E22" s="205" t="n"/>
      <c r="F22" s="206" t="n"/>
      <c r="G22" s="206" t="n"/>
      <c r="H22" s="204" t="n"/>
      <c r="I22" s="210" t="n"/>
      <c r="J22" s="203" t="n"/>
      <c r="K22" s="233" t="inlineStr">
        <is>
          <t>68 = équivalent 16h/sem, 4,2semaines/mois = 1/2 ETP</t>
        </is>
      </c>
      <c r="L22" s="203" t="n"/>
      <c r="M22" s="203" t="n"/>
      <c r="N22" s="203" t="n"/>
      <c r="O22" s="203" t="n"/>
      <c r="P22" s="203" t="n"/>
      <c r="Q22" s="203" t="n"/>
      <c r="R22" s="203" t="n"/>
      <c r="S22" s="203" t="n"/>
      <c r="T22" s="203" t="n"/>
      <c r="U22" s="203" t="n"/>
      <c r="V22" s="203" t="n"/>
      <c r="W22" s="203" t="n"/>
      <c r="X22" s="203" t="n"/>
      <c r="Y22" s="203" t="n"/>
      <c r="Z22" s="203" t="n"/>
      <c r="AA22" s="203" t="n"/>
      <c r="AB22" s="203" t="n"/>
      <c r="AC22" s="203" t="n"/>
      <c r="AD22" s="203" t="n"/>
      <c r="AE22" s="203" t="n"/>
      <c r="AF22" s="203" t="n"/>
      <c r="AG22" s="203" t="n"/>
      <c r="AH22" s="203" t="n"/>
      <c r="AI22" s="203" t="n"/>
      <c r="AJ22" s="203" t="n"/>
    </row>
    <row r="23">
      <c r="A23" s="203" t="n"/>
      <c r="B23" s="203" t="n"/>
      <c r="C23" s="203" t="n"/>
      <c r="D23" s="203" t="n"/>
      <c r="E23" s="203" t="n"/>
      <c r="F23" s="204" t="n"/>
      <c r="G23" s="204" t="n"/>
      <c r="H23" s="204" t="n"/>
      <c r="I23" s="210" t="n"/>
      <c r="J23" s="203" t="n"/>
      <c r="K23" s="203" t="n"/>
      <c r="L23" s="203" t="n"/>
      <c r="M23" s="203" t="n"/>
      <c r="N23" s="203" t="n"/>
      <c r="O23" s="203" t="n"/>
      <c r="P23" s="203" t="n"/>
      <c r="Q23" s="203" t="n"/>
      <c r="R23" s="203" t="n"/>
      <c r="S23" s="203" t="n"/>
      <c r="T23" s="203" t="n"/>
      <c r="U23" s="203" t="n"/>
      <c r="V23" s="203" t="n"/>
      <c r="W23" s="203" t="n"/>
      <c r="X23" s="203" t="n"/>
      <c r="Y23" s="203" t="n"/>
      <c r="Z23" s="203" t="n"/>
      <c r="AA23" s="203" t="n"/>
      <c r="AB23" s="203" t="n"/>
      <c r="AC23" s="203" t="n"/>
      <c r="AD23" s="203" t="n"/>
      <c r="AE23" s="203" t="n"/>
      <c r="AF23" s="203" t="n"/>
      <c r="AG23" s="203" t="n"/>
      <c r="AH23" s="203" t="n"/>
      <c r="AI23" s="203" t="n"/>
      <c r="AJ23" s="203" t="n"/>
      <c r="AK23" s="203" t="n"/>
    </row>
    <row r="24">
      <c r="A24" s="203" t="n"/>
      <c r="B24" s="207" t="inlineStr">
        <is>
          <t>&gt; Toutes les activités mentionnées dans votre BMC doivent être reprise dans ce fichier</t>
        </is>
      </c>
      <c r="C24" s="231" t="n"/>
      <c r="D24" s="203" t="n"/>
      <c r="E24" s="203" t="n"/>
      <c r="F24" s="204" t="n"/>
      <c r="G24" s="204" t="n"/>
      <c r="H24" s="204" t="n"/>
      <c r="I24" s="204" t="n"/>
      <c r="J24" s="203" t="n"/>
      <c r="K24" s="203" t="n"/>
      <c r="L24" s="203" t="n"/>
      <c r="M24" s="203" t="n"/>
      <c r="N24" s="203" t="n"/>
      <c r="O24" s="203" t="n"/>
      <c r="P24" s="203" t="n"/>
      <c r="Q24" s="203" t="n"/>
      <c r="R24" s="203" t="n"/>
      <c r="S24" s="203" t="n"/>
      <c r="T24" s="203" t="n"/>
      <c r="U24" s="203" t="n"/>
      <c r="V24" s="203" t="n"/>
      <c r="W24" s="203" t="n"/>
      <c r="X24" s="203" t="n"/>
      <c r="Y24" s="203" t="n"/>
      <c r="Z24" s="203" t="n"/>
      <c r="AA24" s="203" t="n"/>
      <c r="AB24" s="203" t="n"/>
      <c r="AC24" s="203" t="n"/>
      <c r="AD24" s="203" t="n"/>
      <c r="AE24" s="203" t="n"/>
      <c r="AF24" s="203" t="n"/>
      <c r="AG24" s="203" t="n"/>
      <c r="AH24" s="203" t="n"/>
      <c r="AI24" s="203" t="n"/>
      <c r="AJ24" s="203" t="n"/>
      <c r="AK24" s="203" t="n"/>
    </row>
    <row r="25">
      <c r="A25" s="203" t="n"/>
      <c r="B25" s="203" t="n"/>
      <c r="C25" s="203" t="n"/>
      <c r="D25" s="203" t="n"/>
      <c r="E25" s="203" t="n"/>
      <c r="F25" s="204" t="n"/>
      <c r="G25" s="204" t="n"/>
      <c r="H25" s="203" t="n"/>
      <c r="I25" s="204" t="n"/>
      <c r="J25" s="203" t="n"/>
      <c r="K25" s="203" t="n"/>
      <c r="L25" s="203" t="n"/>
      <c r="M25" s="203" t="n"/>
      <c r="N25" s="203" t="n"/>
      <c r="O25" s="203" t="n"/>
      <c r="P25" s="203" t="n"/>
      <c r="Q25" s="203" t="n"/>
      <c r="R25" s="203" t="n"/>
      <c r="S25" s="203" t="n"/>
      <c r="T25" s="203" t="n"/>
      <c r="U25" s="203" t="n"/>
      <c r="V25" s="203" t="n"/>
      <c r="W25" s="203" t="n"/>
      <c r="X25" s="203" t="n"/>
      <c r="Y25" s="203" t="n"/>
      <c r="Z25" s="203" t="n"/>
      <c r="AA25" s="203" t="n"/>
      <c r="AB25" s="203" t="n"/>
      <c r="AC25" s="203" t="n"/>
      <c r="AD25" s="203" t="n"/>
      <c r="AE25" s="203" t="n"/>
      <c r="AF25" s="203" t="n"/>
      <c r="AG25" s="203" t="n"/>
      <c r="AH25" s="203" t="n"/>
      <c r="AI25" s="203" t="n"/>
      <c r="AJ25" s="203" t="n"/>
      <c r="AK25" s="203" t="n"/>
    </row>
    <row r="26">
      <c r="A26" s="203" t="n"/>
      <c r="B26" s="203" t="n"/>
      <c r="C26" s="203" t="n"/>
      <c r="D26" s="203" t="n"/>
      <c r="E26" s="203" t="n"/>
      <c r="F26" s="204" t="n"/>
      <c r="G26" s="204" t="n"/>
      <c r="H26" s="203" t="n"/>
      <c r="I26" s="204" t="n"/>
      <c r="J26" s="203" t="n"/>
      <c r="K26" s="203" t="n"/>
      <c r="L26" s="203" t="n"/>
      <c r="M26" s="203" t="n"/>
      <c r="N26" s="203" t="n"/>
      <c r="O26" s="203" t="n"/>
      <c r="P26" s="203" t="n"/>
      <c r="Q26" s="203" t="n"/>
      <c r="R26" s="203" t="n"/>
      <c r="S26" s="203" t="n"/>
      <c r="T26" s="203" t="n"/>
      <c r="U26" s="203" t="n"/>
      <c r="V26" s="203" t="n"/>
      <c r="W26" s="203" t="n"/>
      <c r="X26" s="203" t="n"/>
      <c r="Y26" s="203" t="n"/>
      <c r="Z26" s="203" t="n"/>
      <c r="AA26" s="203" t="n"/>
      <c r="AB26" s="203" t="n"/>
      <c r="AC26" s="203" t="n"/>
      <c r="AD26" s="203" t="n"/>
      <c r="AE26" s="203" t="n"/>
      <c r="AF26" s="203" t="n"/>
      <c r="AG26" s="203" t="n"/>
      <c r="AH26" s="203" t="n"/>
      <c r="AI26" s="203" t="n"/>
      <c r="AJ26" s="203" t="n"/>
      <c r="AK26" s="203" t="n"/>
    </row>
    <row r="27">
      <c r="A27" s="203" t="n"/>
      <c r="B27" s="203" t="n"/>
      <c r="C27" s="203" t="n"/>
      <c r="D27" s="203" t="n"/>
      <c r="E27" s="203" t="n"/>
      <c r="F27" s="204" t="n"/>
      <c r="G27" s="204" t="n"/>
      <c r="H27" s="203" t="n"/>
      <c r="I27" s="204" t="n"/>
      <c r="J27" s="203" t="n"/>
      <c r="K27" s="203" t="n"/>
      <c r="L27" s="203" t="n"/>
      <c r="M27" s="203" t="n"/>
      <c r="N27" s="203" t="n"/>
      <c r="O27" s="203" t="n"/>
      <c r="P27" s="203" t="n"/>
      <c r="Q27" s="203" t="n"/>
      <c r="R27" s="203" t="n"/>
      <c r="S27" s="203" t="n"/>
      <c r="T27" s="203" t="n"/>
      <c r="U27" s="203" t="n"/>
      <c r="V27" s="203" t="n"/>
      <c r="W27" s="203" t="n"/>
      <c r="X27" s="203" t="n"/>
      <c r="Y27" s="203" t="n"/>
      <c r="Z27" s="203" t="n"/>
      <c r="AA27" s="203" t="n"/>
      <c r="AB27" s="203" t="n"/>
      <c r="AC27" s="203" t="n"/>
      <c r="AD27" s="203" t="n"/>
      <c r="AE27" s="203" t="n"/>
      <c r="AF27" s="203" t="n"/>
      <c r="AG27" s="203" t="n"/>
      <c r="AH27" s="203" t="n"/>
      <c r="AI27" s="203" t="n"/>
      <c r="AJ27" s="203" t="n"/>
      <c r="AK27" s="203" t="n"/>
    </row>
    <row r="28">
      <c r="A28" s="203" t="n"/>
      <c r="B28" s="203" t="n"/>
      <c r="C28" s="203" t="n"/>
      <c r="D28" s="203" t="n"/>
      <c r="E28" s="203" t="n"/>
      <c r="F28" s="204" t="n"/>
      <c r="G28" s="204" t="n"/>
      <c r="H28" s="203" t="n"/>
      <c r="I28" s="204" t="n"/>
      <c r="J28" s="203" t="n"/>
      <c r="K28" s="203" t="n"/>
      <c r="L28" s="203" t="n"/>
      <c r="M28" s="203" t="n"/>
      <c r="N28" s="203" t="n"/>
      <c r="O28" s="203" t="n"/>
      <c r="P28" s="203" t="n"/>
      <c r="Q28" s="203" t="n"/>
      <c r="R28" s="203" t="n"/>
      <c r="S28" s="203" t="n"/>
      <c r="T28" s="203" t="n"/>
      <c r="U28" s="203" t="n"/>
      <c r="V28" s="203" t="n"/>
      <c r="W28" s="203" t="n"/>
      <c r="X28" s="203" t="n"/>
      <c r="Y28" s="203" t="n"/>
      <c r="Z28" s="203" t="n"/>
      <c r="AA28" s="203" t="n"/>
      <c r="AB28" s="203" t="n"/>
      <c r="AC28" s="203" t="n"/>
      <c r="AD28" s="203" t="n"/>
      <c r="AE28" s="203" t="n"/>
      <c r="AF28" s="203" t="n"/>
      <c r="AG28" s="203" t="n"/>
      <c r="AH28" s="203" t="n"/>
      <c r="AI28" s="203" t="n"/>
      <c r="AJ28" s="203" t="n"/>
      <c r="AK28" s="203" t="n"/>
    </row>
    <row r="29">
      <c r="A29" s="203" t="n"/>
      <c r="B29" s="203" t="n"/>
      <c r="C29" s="203" t="n"/>
      <c r="D29" s="203" t="n"/>
      <c r="E29" s="203" t="n"/>
      <c r="F29" s="204" t="n"/>
      <c r="G29" s="204" t="n"/>
      <c r="H29" s="203" t="n"/>
      <c r="I29" s="204" t="n"/>
      <c r="J29" s="203" t="n"/>
      <c r="K29" s="203" t="n"/>
      <c r="L29" s="203" t="n"/>
      <c r="M29" s="203" t="n"/>
      <c r="N29" s="203" t="n"/>
      <c r="O29" s="203" t="n"/>
      <c r="P29" s="203" t="n"/>
      <c r="Q29" s="203" t="n"/>
      <c r="R29" s="203" t="n"/>
      <c r="S29" s="203" t="n"/>
      <c r="T29" s="203" t="n"/>
      <c r="U29" s="203" t="n"/>
      <c r="V29" s="203" t="n"/>
      <c r="W29" s="203" t="n"/>
      <c r="X29" s="203" t="n"/>
      <c r="Y29" s="203" t="n"/>
      <c r="Z29" s="203" t="n"/>
      <c r="AA29" s="203" t="n"/>
      <c r="AB29" s="203" t="n"/>
      <c r="AC29" s="203" t="n"/>
      <c r="AD29" s="203" t="n"/>
      <c r="AE29" s="203" t="n"/>
      <c r="AF29" s="203" t="n"/>
      <c r="AG29" s="203" t="n"/>
      <c r="AH29" s="203" t="n"/>
      <c r="AI29" s="203" t="n"/>
      <c r="AJ29" s="203" t="n"/>
      <c r="AK29" s="203" t="n"/>
    </row>
    <row r="30">
      <c r="A30" s="203" t="n"/>
      <c r="B30" s="203" t="n"/>
      <c r="C30" s="203" t="n"/>
      <c r="D30" s="203" t="n"/>
      <c r="E30" s="203" t="n"/>
      <c r="F30" s="204" t="n"/>
      <c r="G30" s="204" t="n"/>
      <c r="H30" s="203" t="n"/>
      <c r="I30" s="204" t="n"/>
      <c r="J30" s="203" t="n"/>
      <c r="K30" s="203" t="n"/>
      <c r="L30" s="203" t="n"/>
      <c r="M30" s="203" t="n"/>
      <c r="N30" s="203" t="n"/>
      <c r="O30" s="203" t="n"/>
      <c r="P30" s="203" t="n"/>
      <c r="Q30" s="203" t="n"/>
      <c r="R30" s="203" t="n"/>
      <c r="S30" s="203" t="n"/>
      <c r="T30" s="203" t="n"/>
      <c r="U30" s="203" t="n"/>
      <c r="V30" s="203" t="n"/>
      <c r="W30" s="203" t="n"/>
      <c r="X30" s="203" t="n"/>
      <c r="Y30" s="203" t="n"/>
      <c r="Z30" s="203" t="n"/>
      <c r="AA30" s="203" t="n"/>
      <c r="AB30" s="203" t="n"/>
      <c r="AC30" s="203" t="n"/>
      <c r="AD30" s="203" t="n"/>
      <c r="AE30" s="203" t="n"/>
      <c r="AF30" s="203" t="n"/>
      <c r="AG30" s="203" t="n"/>
      <c r="AH30" s="203" t="n"/>
      <c r="AI30" s="203" t="n"/>
      <c r="AJ30" s="203" t="n"/>
      <c r="AK30" s="203" t="n"/>
    </row>
    <row r="31">
      <c r="A31" s="203" t="n"/>
      <c r="B31" s="203" t="n"/>
      <c r="C31" s="203" t="n"/>
      <c r="D31" s="203" t="n"/>
      <c r="E31" s="203" t="n"/>
      <c r="F31" s="204" t="n"/>
      <c r="G31" s="204" t="n"/>
      <c r="H31" s="203" t="n"/>
      <c r="I31" s="204" t="n"/>
      <c r="J31" s="203" t="n"/>
      <c r="K31" s="203" t="n"/>
      <c r="L31" s="203" t="n"/>
      <c r="M31" s="203" t="n"/>
      <c r="N31" s="203" t="n"/>
      <c r="O31" s="203" t="n"/>
      <c r="P31" s="203" t="n"/>
      <c r="Q31" s="203" t="n"/>
      <c r="R31" s="203" t="n"/>
      <c r="S31" s="203" t="n"/>
      <c r="T31" s="203" t="n"/>
      <c r="U31" s="203" t="n"/>
      <c r="V31" s="203" t="n"/>
      <c r="W31" s="203" t="n"/>
      <c r="X31" s="203" t="n"/>
      <c r="Y31" s="203" t="n"/>
      <c r="Z31" s="203" t="n"/>
      <c r="AA31" s="203" t="n"/>
      <c r="AB31" s="203" t="n"/>
      <c r="AC31" s="203" t="n"/>
      <c r="AD31" s="203" t="n"/>
      <c r="AE31" s="203" t="n"/>
      <c r="AF31" s="203" t="n"/>
      <c r="AG31" s="203" t="n"/>
      <c r="AH31" s="203" t="n"/>
      <c r="AI31" s="203" t="n"/>
      <c r="AJ31" s="203" t="n"/>
      <c r="AK31" s="203" t="n"/>
    </row>
    <row r="32">
      <c r="A32" s="203" t="n"/>
      <c r="B32" s="203" t="n"/>
      <c r="C32" s="203" t="n"/>
      <c r="D32" s="203" t="n"/>
      <c r="E32" s="203" t="n"/>
      <c r="F32" s="204" t="n"/>
      <c r="G32" s="204" t="n"/>
      <c r="H32" s="203" t="n"/>
      <c r="I32" s="204" t="n"/>
      <c r="J32" s="203" t="n"/>
      <c r="K32" s="203" t="n"/>
      <c r="L32" s="203" t="n"/>
      <c r="M32" s="203" t="n"/>
      <c r="N32" s="203" t="n"/>
      <c r="O32" s="203" t="n"/>
      <c r="P32" s="203" t="n"/>
      <c r="Q32" s="203" t="n"/>
      <c r="R32" s="203" t="n"/>
      <c r="S32" s="203" t="n"/>
      <c r="T32" s="203" t="n"/>
      <c r="U32" s="203" t="n"/>
      <c r="V32" s="203" t="n"/>
      <c r="W32" s="203" t="n"/>
      <c r="X32" s="203" t="n"/>
      <c r="Y32" s="203" t="n"/>
      <c r="Z32" s="203" t="n"/>
      <c r="AA32" s="203" t="n"/>
      <c r="AB32" s="203" t="n"/>
      <c r="AC32" s="203" t="n"/>
      <c r="AD32" s="203" t="n"/>
      <c r="AE32" s="203" t="n"/>
      <c r="AF32" s="203" t="n"/>
      <c r="AG32" s="203" t="n"/>
      <c r="AH32" s="203" t="n"/>
      <c r="AI32" s="203" t="n"/>
      <c r="AJ32" s="203" t="n"/>
      <c r="AK32" s="203" t="n"/>
    </row>
    <row r="33">
      <c r="A33" s="203" t="n"/>
      <c r="B33" s="203" t="n"/>
      <c r="C33" s="203" t="n"/>
      <c r="D33" s="203" t="n"/>
      <c r="E33" s="203" t="n"/>
      <c r="F33" s="204" t="n"/>
      <c r="G33" s="204" t="n"/>
      <c r="H33" s="203" t="n"/>
      <c r="I33" s="204" t="n"/>
      <c r="J33" s="203" t="n"/>
      <c r="K33" s="203" t="n"/>
      <c r="L33" s="203" t="n"/>
      <c r="M33" s="203" t="n"/>
      <c r="N33" s="203" t="n"/>
      <c r="O33" s="203" t="n"/>
      <c r="P33" s="203" t="n"/>
      <c r="Q33" s="203" t="n"/>
      <c r="R33" s="203" t="n"/>
      <c r="S33" s="203" t="n"/>
      <c r="T33" s="203" t="n"/>
      <c r="U33" s="203" t="n"/>
      <c r="V33" s="203" t="n"/>
      <c r="W33" s="203" t="n"/>
      <c r="X33" s="203" t="n"/>
      <c r="Y33" s="203" t="n"/>
      <c r="Z33" s="203" t="n"/>
      <c r="AA33" s="203" t="n"/>
      <c r="AB33" s="203" t="n"/>
      <c r="AC33" s="203" t="n"/>
      <c r="AD33" s="203" t="n"/>
      <c r="AE33" s="203" t="n"/>
      <c r="AF33" s="203" t="n"/>
      <c r="AG33" s="203" t="n"/>
      <c r="AH33" s="203" t="n"/>
      <c r="AI33" s="203" t="n"/>
      <c r="AJ33" s="203" t="n"/>
      <c r="AK33" s="203" t="n"/>
    </row>
    <row r="34">
      <c r="A34" s="203" t="n"/>
      <c r="B34" s="203" t="n"/>
      <c r="C34" s="203" t="n"/>
      <c r="D34" s="203" t="n"/>
      <c r="E34" s="203" t="n"/>
      <c r="F34" s="204" t="n"/>
      <c r="G34" s="204" t="n"/>
      <c r="H34" s="203" t="n"/>
      <c r="I34" s="204" t="n"/>
      <c r="J34" s="203" t="n"/>
      <c r="K34" s="203" t="n"/>
      <c r="L34" s="203" t="n"/>
      <c r="M34" s="203" t="n"/>
      <c r="N34" s="203" t="n"/>
      <c r="O34" s="203" t="n"/>
      <c r="P34" s="203" t="n"/>
      <c r="Q34" s="203" t="n"/>
      <c r="R34" s="203" t="n"/>
      <c r="S34" s="203" t="n"/>
      <c r="T34" s="203" t="n"/>
      <c r="U34" s="203" t="n"/>
      <c r="V34" s="203" t="n"/>
      <c r="W34" s="203" t="n"/>
      <c r="X34" s="203" t="n"/>
      <c r="Y34" s="203" t="n"/>
      <c r="Z34" s="203" t="n"/>
      <c r="AA34" s="203" t="n"/>
      <c r="AB34" s="203" t="n"/>
      <c r="AC34" s="203" t="n"/>
      <c r="AD34" s="203" t="n"/>
      <c r="AE34" s="203" t="n"/>
      <c r="AF34" s="203" t="n"/>
      <c r="AG34" s="203" t="n"/>
      <c r="AH34" s="203" t="n"/>
      <c r="AI34" s="203" t="n"/>
      <c r="AJ34" s="203" t="n"/>
      <c r="AK34" s="203" t="n"/>
    </row>
    <row r="35">
      <c r="A35" s="203" t="n"/>
      <c r="B35" s="203" t="n"/>
      <c r="C35" s="203" t="n"/>
      <c r="D35" s="203" t="n"/>
      <c r="E35" s="203" t="n"/>
      <c r="F35" s="204" t="n"/>
      <c r="G35" s="204" t="n"/>
      <c r="H35" s="203" t="n"/>
      <c r="I35" s="204" t="n"/>
      <c r="J35" s="203" t="n"/>
      <c r="K35" s="203" t="n"/>
      <c r="L35" s="203" t="n"/>
      <c r="M35" s="203" t="n"/>
      <c r="N35" s="203" t="n"/>
      <c r="O35" s="203" t="n"/>
      <c r="P35" s="203" t="n"/>
      <c r="Q35" s="203" t="n"/>
      <c r="R35" s="203" t="n"/>
      <c r="S35" s="203" t="n"/>
      <c r="T35" s="203" t="n"/>
      <c r="U35" s="203" t="n"/>
      <c r="V35" s="203" t="n"/>
      <c r="W35" s="203" t="n"/>
      <c r="X35" s="203" t="n"/>
      <c r="Y35" s="203" t="n"/>
      <c r="Z35" s="203" t="n"/>
      <c r="AA35" s="203" t="n"/>
      <c r="AB35" s="203" t="n"/>
      <c r="AC35" s="203" t="n"/>
      <c r="AD35" s="203" t="n"/>
      <c r="AE35" s="203" t="n"/>
      <c r="AF35" s="203" t="n"/>
      <c r="AG35" s="203" t="n"/>
      <c r="AH35" s="203" t="n"/>
      <c r="AI35" s="203" t="n"/>
      <c r="AJ35" s="203" t="n"/>
      <c r="AK35" s="203" t="n"/>
    </row>
    <row r="36">
      <c r="A36" s="203" t="n"/>
      <c r="B36" s="203" t="n"/>
      <c r="C36" s="203" t="n"/>
      <c r="D36" s="203" t="n"/>
      <c r="E36" s="203" t="n"/>
      <c r="F36" s="204" t="n"/>
      <c r="G36" s="204" t="n"/>
      <c r="H36" s="203" t="n"/>
      <c r="I36" s="204" t="n"/>
      <c r="J36" s="203" t="n"/>
      <c r="K36" s="203" t="n"/>
      <c r="L36" s="203" t="n"/>
      <c r="M36" s="203" t="n"/>
      <c r="N36" s="203" t="n"/>
      <c r="O36" s="203" t="n"/>
      <c r="P36" s="203" t="n"/>
      <c r="Q36" s="203" t="n"/>
      <c r="R36" s="203" t="n"/>
      <c r="S36" s="203" t="n"/>
      <c r="T36" s="203" t="n"/>
      <c r="U36" s="203" t="n"/>
      <c r="V36" s="203" t="n"/>
      <c r="W36" s="203" t="n"/>
      <c r="X36" s="203" t="n"/>
      <c r="Y36" s="203" t="n"/>
      <c r="Z36" s="203" t="n"/>
      <c r="AA36" s="203" t="n"/>
      <c r="AB36" s="203" t="n"/>
      <c r="AC36" s="203" t="n"/>
      <c r="AD36" s="203" t="n"/>
      <c r="AE36" s="203" t="n"/>
      <c r="AF36" s="203" t="n"/>
      <c r="AG36" s="203" t="n"/>
      <c r="AH36" s="203" t="n"/>
      <c r="AI36" s="203" t="n"/>
      <c r="AJ36" s="203" t="n"/>
      <c r="AK36" s="203" t="n"/>
    </row>
    <row r="37">
      <c r="A37" s="203" t="n"/>
      <c r="B37" s="203" t="n"/>
      <c r="C37" s="203" t="n"/>
      <c r="D37" s="203" t="n"/>
      <c r="E37" s="203" t="n"/>
      <c r="F37" s="204" t="n"/>
      <c r="G37" s="204" t="n"/>
      <c r="H37" s="203" t="n"/>
      <c r="I37" s="204" t="n"/>
      <c r="J37" s="203" t="n"/>
      <c r="K37" s="203" t="n"/>
      <c r="L37" s="203" t="n"/>
      <c r="M37" s="203" t="n"/>
      <c r="N37" s="203" t="n"/>
      <c r="O37" s="203" t="n"/>
      <c r="P37" s="203" t="n"/>
      <c r="Q37" s="203" t="n"/>
      <c r="R37" s="203" t="n"/>
      <c r="S37" s="203" t="n"/>
      <c r="T37" s="203" t="n"/>
      <c r="U37" s="203" t="n"/>
      <c r="V37" s="203" t="n"/>
      <c r="W37" s="203" t="n"/>
      <c r="X37" s="203" t="n"/>
      <c r="Y37" s="203" t="n"/>
      <c r="Z37" s="203" t="n"/>
      <c r="AA37" s="203" t="n"/>
      <c r="AB37" s="203" t="n"/>
      <c r="AC37" s="203" t="n"/>
      <c r="AD37" s="203" t="n"/>
      <c r="AE37" s="203" t="n"/>
      <c r="AF37" s="203" t="n"/>
      <c r="AG37" s="203" t="n"/>
      <c r="AH37" s="203" t="n"/>
      <c r="AI37" s="203" t="n"/>
      <c r="AJ37" s="203" t="n"/>
      <c r="AK37" s="203" t="n"/>
    </row>
    <row r="38">
      <c r="A38" s="203" t="n"/>
      <c r="B38" s="203" t="n"/>
      <c r="C38" s="203" t="n"/>
      <c r="D38" s="203" t="n"/>
      <c r="E38" s="203" t="n"/>
      <c r="F38" s="204" t="n"/>
      <c r="G38" s="204" t="n"/>
      <c r="H38" s="203" t="n"/>
      <c r="I38" s="204" t="n"/>
      <c r="J38" s="203" t="n"/>
      <c r="K38" s="203" t="n"/>
      <c r="L38" s="203" t="n"/>
      <c r="M38" s="203" t="n"/>
      <c r="N38" s="203" t="n"/>
      <c r="O38" s="203" t="n"/>
      <c r="P38" s="203" t="n"/>
      <c r="Q38" s="203" t="n"/>
      <c r="R38" s="203" t="n"/>
      <c r="S38" s="203" t="n"/>
      <c r="T38" s="203" t="n"/>
      <c r="U38" s="203" t="n"/>
      <c r="V38" s="203" t="n"/>
      <c r="W38" s="203" t="n"/>
      <c r="X38" s="203" t="n"/>
      <c r="Y38" s="203" t="n"/>
      <c r="Z38" s="203" t="n"/>
      <c r="AA38" s="203" t="n"/>
      <c r="AB38" s="203" t="n"/>
      <c r="AC38" s="203" t="n"/>
      <c r="AD38" s="203" t="n"/>
      <c r="AE38" s="203" t="n"/>
      <c r="AF38" s="203" t="n"/>
      <c r="AG38" s="203" t="n"/>
      <c r="AH38" s="203" t="n"/>
      <c r="AI38" s="203" t="n"/>
      <c r="AJ38" s="203" t="n"/>
      <c r="AK38" s="203" t="n"/>
    </row>
    <row r="39">
      <c r="A39" s="203" t="n"/>
      <c r="B39" s="203" t="n"/>
      <c r="C39" s="203" t="n"/>
      <c r="D39" s="203" t="n"/>
      <c r="E39" s="203" t="n"/>
      <c r="F39" s="204" t="n"/>
      <c r="G39" s="204" t="n"/>
      <c r="H39" s="203" t="n"/>
      <c r="I39" s="204" t="n"/>
      <c r="J39" s="203" t="n"/>
      <c r="K39" s="203" t="n"/>
      <c r="L39" s="203" t="n"/>
      <c r="M39" s="203" t="n"/>
      <c r="N39" s="203" t="n"/>
      <c r="O39" s="203" t="n"/>
      <c r="P39" s="203" t="n"/>
      <c r="Q39" s="203" t="n"/>
      <c r="R39" s="203" t="n"/>
      <c r="S39" s="203" t="n"/>
      <c r="T39" s="203" t="n"/>
      <c r="U39" s="203" t="n"/>
      <c r="V39" s="203" t="n"/>
      <c r="W39" s="203" t="n"/>
      <c r="X39" s="203" t="n"/>
      <c r="Y39" s="203" t="n"/>
      <c r="Z39" s="203" t="n"/>
      <c r="AA39" s="203" t="n"/>
      <c r="AB39" s="203" t="n"/>
      <c r="AC39" s="203" t="n"/>
      <c r="AD39" s="203" t="n"/>
      <c r="AE39" s="203" t="n"/>
      <c r="AF39" s="203" t="n"/>
      <c r="AG39" s="203" t="n"/>
      <c r="AH39" s="203" t="n"/>
      <c r="AI39" s="203" t="n"/>
      <c r="AJ39" s="203" t="n"/>
      <c r="AK39" s="203" t="n"/>
    </row>
    <row r="40">
      <c r="A40" s="203" t="n"/>
      <c r="B40" s="203" t="n"/>
      <c r="C40" s="203" t="n"/>
      <c r="D40" s="203" t="n"/>
      <c r="E40" s="203" t="n"/>
      <c r="F40" s="204" t="n"/>
      <c r="G40" s="204" t="n"/>
      <c r="H40" s="203" t="n"/>
      <c r="I40" s="204" t="n"/>
      <c r="J40" s="203" t="n"/>
      <c r="K40" s="203" t="n"/>
      <c r="L40" s="203" t="n"/>
      <c r="M40" s="203" t="n"/>
      <c r="N40" s="203" t="n"/>
      <c r="O40" s="203" t="n"/>
      <c r="P40" s="203" t="n"/>
      <c r="Q40" s="203" t="n"/>
      <c r="R40" s="203" t="n"/>
      <c r="S40" s="203" t="n"/>
      <c r="T40" s="203" t="n"/>
      <c r="U40" s="203" t="n"/>
      <c r="V40" s="203" t="n"/>
      <c r="W40" s="203" t="n"/>
      <c r="X40" s="203" t="n"/>
      <c r="Y40" s="203" t="n"/>
      <c r="Z40" s="203" t="n"/>
      <c r="AA40" s="203" t="n"/>
      <c r="AB40" s="203" t="n"/>
      <c r="AC40" s="203" t="n"/>
      <c r="AD40" s="203" t="n"/>
      <c r="AE40" s="203" t="n"/>
      <c r="AF40" s="203" t="n"/>
      <c r="AG40" s="203" t="n"/>
      <c r="AH40" s="203" t="n"/>
      <c r="AI40" s="203" t="n"/>
      <c r="AJ40" s="203" t="n"/>
      <c r="AK40" s="203" t="n"/>
    </row>
    <row r="41">
      <c r="A41" s="203" t="n"/>
      <c r="B41" s="203" t="n"/>
      <c r="C41" s="203" t="n"/>
      <c r="D41" s="203" t="n"/>
      <c r="E41" s="203" t="n"/>
      <c r="F41" s="204" t="n"/>
      <c r="G41" s="204" t="n"/>
      <c r="H41" s="203" t="n"/>
      <c r="I41" s="204" t="n"/>
      <c r="J41" s="203" t="n"/>
      <c r="K41" s="203" t="n"/>
      <c r="L41" s="203" t="n"/>
      <c r="M41" s="203" t="n"/>
      <c r="N41" s="203" t="n"/>
      <c r="O41" s="203" t="n"/>
      <c r="P41" s="203" t="n"/>
      <c r="Q41" s="203" t="n"/>
      <c r="R41" s="203" t="n"/>
      <c r="S41" s="203" t="n"/>
      <c r="T41" s="203" t="n"/>
      <c r="U41" s="203" t="n"/>
      <c r="V41" s="203" t="n"/>
      <c r="W41" s="203" t="n"/>
      <c r="X41" s="203" t="n"/>
      <c r="Y41" s="203" t="n"/>
      <c r="Z41" s="203" t="n"/>
      <c r="AA41" s="203" t="n"/>
      <c r="AB41" s="203" t="n"/>
      <c r="AC41" s="203" t="n"/>
      <c r="AD41" s="203" t="n"/>
      <c r="AE41" s="203" t="n"/>
      <c r="AF41" s="203" t="n"/>
      <c r="AG41" s="203" t="n"/>
      <c r="AH41" s="203" t="n"/>
      <c r="AI41" s="203" t="n"/>
      <c r="AJ41" s="203" t="n"/>
      <c r="AK41" s="203" t="n"/>
    </row>
    <row r="42">
      <c r="A42" s="203" t="n"/>
      <c r="B42" s="203" t="n"/>
      <c r="C42" s="203" t="n"/>
      <c r="D42" s="203" t="n"/>
      <c r="E42" s="203" t="n"/>
      <c r="F42" s="204" t="n"/>
      <c r="G42" s="204" t="n"/>
      <c r="H42" s="203" t="n"/>
      <c r="I42" s="204" t="n"/>
      <c r="J42" s="203" t="n"/>
      <c r="K42" s="203" t="n"/>
      <c r="L42" s="203" t="n"/>
      <c r="M42" s="203" t="n"/>
      <c r="N42" s="203" t="n"/>
      <c r="O42" s="203" t="n"/>
      <c r="P42" s="203" t="n"/>
      <c r="Q42" s="203" t="n"/>
      <c r="R42" s="203" t="n"/>
      <c r="S42" s="203" t="n"/>
      <c r="T42" s="203" t="n"/>
      <c r="U42" s="203" t="n"/>
      <c r="V42" s="203" t="n"/>
      <c r="W42" s="203" t="n"/>
      <c r="X42" s="203" t="n"/>
      <c r="Y42" s="203" t="n"/>
      <c r="Z42" s="203" t="n"/>
      <c r="AA42" s="203" t="n"/>
      <c r="AB42" s="203" t="n"/>
      <c r="AC42" s="203" t="n"/>
      <c r="AD42" s="203" t="n"/>
      <c r="AE42" s="203" t="n"/>
      <c r="AF42" s="203" t="n"/>
      <c r="AG42" s="203" t="n"/>
      <c r="AH42" s="203" t="n"/>
      <c r="AI42" s="203" t="n"/>
      <c r="AJ42" s="203" t="n"/>
      <c r="AK42" s="203" t="n"/>
    </row>
    <row r="43">
      <c r="A43" s="203" t="n"/>
      <c r="B43" s="203" t="n"/>
      <c r="C43" s="203" t="n"/>
      <c r="D43" s="203" t="n"/>
      <c r="E43" s="203" t="n"/>
      <c r="F43" s="204" t="n"/>
      <c r="G43" s="204" t="n"/>
      <c r="H43" s="203" t="n"/>
      <c r="I43" s="204" t="n"/>
      <c r="J43" s="203" t="n"/>
      <c r="K43" s="203" t="n"/>
      <c r="L43" s="203" t="n"/>
      <c r="M43" s="203" t="n"/>
      <c r="N43" s="203" t="n"/>
      <c r="O43" s="203" t="n"/>
      <c r="P43" s="203" t="n"/>
      <c r="Q43" s="203" t="n"/>
      <c r="R43" s="203" t="n"/>
      <c r="S43" s="203" t="n"/>
      <c r="T43" s="203" t="n"/>
      <c r="U43" s="203" t="n"/>
      <c r="V43" s="203" t="n"/>
      <c r="W43" s="203" t="n"/>
      <c r="X43" s="203" t="n"/>
      <c r="Y43" s="203" t="n"/>
      <c r="Z43" s="203" t="n"/>
      <c r="AA43" s="203" t="n"/>
      <c r="AB43" s="203" t="n"/>
      <c r="AC43" s="203" t="n"/>
      <c r="AD43" s="203" t="n"/>
      <c r="AE43" s="203" t="n"/>
      <c r="AF43" s="203" t="n"/>
      <c r="AG43" s="203" t="n"/>
      <c r="AH43" s="203" t="n"/>
      <c r="AI43" s="203" t="n"/>
      <c r="AJ43" s="203" t="n"/>
      <c r="AK43" s="203" t="n"/>
    </row>
    <row r="44">
      <c r="A44" s="203" t="n"/>
      <c r="B44" s="203" t="n"/>
      <c r="C44" s="203" t="n"/>
      <c r="D44" s="203" t="n"/>
      <c r="E44" s="203" t="n"/>
      <c r="F44" s="204" t="n"/>
      <c r="G44" s="204" t="n"/>
      <c r="H44" s="203" t="n"/>
      <c r="I44" s="204" t="n"/>
      <c r="J44" s="203" t="n"/>
      <c r="K44" s="203" t="n"/>
      <c r="L44" s="203" t="n"/>
      <c r="M44" s="203" t="n"/>
      <c r="N44" s="203" t="n"/>
      <c r="O44" s="203" t="n"/>
      <c r="P44" s="203" t="n"/>
      <c r="Q44" s="203" t="n"/>
      <c r="R44" s="203" t="n"/>
      <c r="S44" s="203" t="n"/>
      <c r="T44" s="203" t="n"/>
      <c r="U44" s="203" t="n"/>
      <c r="V44" s="203" t="n"/>
      <c r="W44" s="203" t="n"/>
      <c r="X44" s="203" t="n"/>
      <c r="Y44" s="203" t="n"/>
      <c r="Z44" s="203" t="n"/>
      <c r="AA44" s="203" t="n"/>
      <c r="AB44" s="203" t="n"/>
      <c r="AC44" s="203" t="n"/>
      <c r="AD44" s="203" t="n"/>
      <c r="AE44" s="203" t="n"/>
      <c r="AF44" s="203" t="n"/>
      <c r="AG44" s="203" t="n"/>
      <c r="AH44" s="203" t="n"/>
      <c r="AI44" s="203" t="n"/>
      <c r="AJ44" s="203" t="n"/>
      <c r="AK44" s="203" t="n"/>
    </row>
    <row r="45">
      <c r="A45" s="203" t="n"/>
      <c r="B45" s="203" t="n"/>
      <c r="C45" s="203" t="n"/>
      <c r="D45" s="203" t="n"/>
      <c r="E45" s="203" t="n"/>
      <c r="F45" s="204" t="n"/>
      <c r="G45" s="204" t="n"/>
      <c r="H45" s="203" t="n"/>
      <c r="I45" s="204" t="n"/>
      <c r="J45" s="203" t="n"/>
      <c r="K45" s="203" t="n"/>
      <c r="L45" s="203" t="n"/>
      <c r="M45" s="203" t="n"/>
      <c r="N45" s="203" t="n"/>
      <c r="O45" s="203" t="n"/>
      <c r="P45" s="203" t="n"/>
      <c r="Q45" s="203" t="n"/>
      <c r="R45" s="203" t="n"/>
      <c r="S45" s="203" t="n"/>
      <c r="T45" s="203" t="n"/>
      <c r="U45" s="203" t="n"/>
      <c r="V45" s="203" t="n"/>
      <c r="W45" s="203" t="n"/>
      <c r="X45" s="203" t="n"/>
      <c r="Y45" s="203" t="n"/>
      <c r="Z45" s="203" t="n"/>
      <c r="AA45" s="203" t="n"/>
      <c r="AB45" s="203" t="n"/>
      <c r="AC45" s="203" t="n"/>
      <c r="AD45" s="203" t="n"/>
      <c r="AE45" s="203" t="n"/>
      <c r="AF45" s="203" t="n"/>
      <c r="AG45" s="203" t="n"/>
      <c r="AH45" s="203" t="n"/>
      <c r="AI45" s="203" t="n"/>
      <c r="AJ45" s="203" t="n"/>
      <c r="AK45" s="203" t="n"/>
    </row>
    <row r="46">
      <c r="A46" s="203" t="n"/>
      <c r="B46" s="203" t="n"/>
      <c r="C46" s="203" t="n"/>
      <c r="D46" s="203" t="n"/>
      <c r="E46" s="203" t="n"/>
      <c r="F46" s="204" t="n"/>
      <c r="G46" s="204" t="n"/>
      <c r="H46" s="203" t="n"/>
      <c r="I46" s="204" t="n"/>
      <c r="J46" s="203" t="n"/>
      <c r="K46" s="203" t="n"/>
      <c r="L46" s="203" t="n"/>
      <c r="M46" s="203" t="n"/>
      <c r="N46" s="203" t="n"/>
      <c r="O46" s="203" t="n"/>
      <c r="P46" s="203" t="n"/>
      <c r="Q46" s="203" t="n"/>
      <c r="R46" s="203" t="n"/>
      <c r="S46" s="203" t="n"/>
      <c r="T46" s="203" t="n"/>
      <c r="U46" s="203" t="n"/>
      <c r="V46" s="203" t="n"/>
      <c r="W46" s="203" t="n"/>
      <c r="X46" s="203" t="n"/>
      <c r="Y46" s="203" t="n"/>
      <c r="Z46" s="203" t="n"/>
      <c r="AA46" s="203" t="n"/>
      <c r="AB46" s="203" t="n"/>
      <c r="AC46" s="203" t="n"/>
      <c r="AD46" s="203" t="n"/>
      <c r="AE46" s="203" t="n"/>
      <c r="AF46" s="203" t="n"/>
      <c r="AG46" s="203" t="n"/>
      <c r="AH46" s="203" t="n"/>
      <c r="AI46" s="203" t="n"/>
      <c r="AJ46" s="203" t="n"/>
      <c r="AK46" s="203" t="n"/>
    </row>
    <row r="47">
      <c r="A47" s="203" t="n"/>
      <c r="B47" s="203" t="n"/>
      <c r="C47" s="203" t="n"/>
      <c r="D47" s="203" t="n"/>
      <c r="E47" s="203" t="n"/>
      <c r="F47" s="204" t="n"/>
      <c r="G47" s="204" t="n"/>
      <c r="H47" s="203" t="n"/>
      <c r="I47" s="204" t="n"/>
      <c r="J47" s="203" t="n"/>
      <c r="K47" s="203" t="n"/>
      <c r="L47" s="203" t="n"/>
      <c r="M47" s="203" t="n"/>
      <c r="N47" s="203" t="n"/>
      <c r="O47" s="203" t="n"/>
      <c r="P47" s="203" t="n"/>
      <c r="Q47" s="203" t="n"/>
      <c r="R47" s="203" t="n"/>
      <c r="S47" s="203" t="n"/>
      <c r="T47" s="203" t="n"/>
      <c r="U47" s="203" t="n"/>
      <c r="V47" s="203" t="n"/>
      <c r="W47" s="203" t="n"/>
      <c r="X47" s="203" t="n"/>
      <c r="Y47" s="203" t="n"/>
      <c r="Z47" s="203" t="n"/>
      <c r="AA47" s="203" t="n"/>
      <c r="AB47" s="203" t="n"/>
      <c r="AC47" s="203" t="n"/>
      <c r="AD47" s="203" t="n"/>
      <c r="AE47" s="203" t="n"/>
      <c r="AF47" s="203" t="n"/>
      <c r="AG47" s="203" t="n"/>
      <c r="AH47" s="203" t="n"/>
      <c r="AI47" s="203" t="n"/>
      <c r="AJ47" s="203" t="n"/>
      <c r="AK47" s="203" t="n"/>
    </row>
    <row r="48">
      <c r="A48" s="203" t="n"/>
      <c r="B48" s="203" t="n"/>
      <c r="C48" s="203" t="n"/>
      <c r="D48" s="203" t="n"/>
      <c r="E48" s="203" t="n"/>
      <c r="F48" s="204" t="n"/>
      <c r="G48" s="204" t="n"/>
      <c r="H48" s="203" t="n"/>
      <c r="I48" s="204" t="n"/>
      <c r="J48" s="203" t="n"/>
      <c r="K48" s="203" t="n"/>
      <c r="L48" s="203" t="n"/>
      <c r="M48" s="203" t="n"/>
      <c r="N48" s="203" t="n"/>
      <c r="O48" s="203" t="n"/>
      <c r="P48" s="203" t="n"/>
      <c r="Q48" s="203" t="n"/>
      <c r="R48" s="203" t="n"/>
      <c r="S48" s="203" t="n"/>
      <c r="T48" s="203" t="n"/>
      <c r="U48" s="203" t="n"/>
      <c r="V48" s="203" t="n"/>
      <c r="W48" s="203" t="n"/>
      <c r="X48" s="203" t="n"/>
      <c r="Y48" s="203" t="n"/>
      <c r="Z48" s="203" t="n"/>
      <c r="AA48" s="203" t="n"/>
      <c r="AB48" s="203" t="n"/>
      <c r="AC48" s="203" t="n"/>
      <c r="AD48" s="203" t="n"/>
      <c r="AE48" s="203" t="n"/>
      <c r="AF48" s="203" t="n"/>
      <c r="AG48" s="203" t="n"/>
      <c r="AH48" s="203" t="n"/>
      <c r="AI48" s="203" t="n"/>
      <c r="AJ48" s="203" t="n"/>
      <c r="AK48" s="203" t="n"/>
    </row>
    <row r="49">
      <c r="A49" s="203" t="n"/>
      <c r="B49" s="203" t="n"/>
      <c r="C49" s="203" t="n"/>
      <c r="D49" s="203" t="n"/>
      <c r="E49" s="203" t="n"/>
      <c r="F49" s="204" t="n"/>
      <c r="G49" s="204" t="n"/>
      <c r="H49" s="203" t="n"/>
      <c r="I49" s="204" t="n"/>
      <c r="J49" s="203" t="n"/>
      <c r="K49" s="203" t="n"/>
      <c r="L49" s="203" t="n"/>
      <c r="M49" s="203" t="n"/>
      <c r="N49" s="203" t="n"/>
      <c r="O49" s="203" t="n"/>
      <c r="P49" s="203" t="n"/>
      <c r="Q49" s="203" t="n"/>
      <c r="R49" s="203" t="n"/>
      <c r="S49" s="203" t="n"/>
      <c r="T49" s="203" t="n"/>
      <c r="U49" s="203" t="n"/>
      <c r="V49" s="203" t="n"/>
      <c r="W49" s="203" t="n"/>
      <c r="X49" s="203" t="n"/>
      <c r="Y49" s="203" t="n"/>
      <c r="Z49" s="203" t="n"/>
      <c r="AA49" s="203" t="n"/>
      <c r="AB49" s="203" t="n"/>
      <c r="AC49" s="203" t="n"/>
      <c r="AD49" s="203" t="n"/>
      <c r="AE49" s="203" t="n"/>
      <c r="AF49" s="203" t="n"/>
      <c r="AG49" s="203" t="n"/>
      <c r="AH49" s="203" t="n"/>
      <c r="AI49" s="203" t="n"/>
      <c r="AJ49" s="203" t="n"/>
      <c r="AK49" s="203" t="n"/>
    </row>
    <row r="50">
      <c r="A50" s="203" t="n"/>
      <c r="B50" s="203" t="n"/>
      <c r="C50" s="203" t="n"/>
      <c r="D50" s="203" t="n"/>
      <c r="E50" s="203" t="n"/>
      <c r="F50" s="204" t="n"/>
      <c r="G50" s="204" t="n"/>
      <c r="H50" s="203" t="n"/>
      <c r="I50" s="204" t="n"/>
      <c r="J50" s="203" t="n"/>
      <c r="K50" s="203" t="n"/>
      <c r="L50" s="203" t="n"/>
      <c r="M50" s="203" t="n"/>
      <c r="N50" s="203" t="n"/>
      <c r="O50" s="203" t="n"/>
      <c r="P50" s="203" t="n"/>
      <c r="Q50" s="203" t="n"/>
      <c r="R50" s="203" t="n"/>
      <c r="S50" s="203" t="n"/>
      <c r="T50" s="203" t="n"/>
      <c r="U50" s="203" t="n"/>
      <c r="V50" s="203" t="n"/>
      <c r="W50" s="203" t="n"/>
      <c r="X50" s="203" t="n"/>
      <c r="Y50" s="203" t="n"/>
      <c r="Z50" s="203" t="n"/>
      <c r="AA50" s="203" t="n"/>
      <c r="AB50" s="203" t="n"/>
      <c r="AC50" s="203" t="n"/>
      <c r="AD50" s="203" t="n"/>
      <c r="AE50" s="203" t="n"/>
      <c r="AF50" s="203" t="n"/>
      <c r="AG50" s="203" t="n"/>
      <c r="AH50" s="203" t="n"/>
      <c r="AI50" s="203" t="n"/>
      <c r="AJ50" s="203" t="n"/>
      <c r="AK50" s="203" t="n"/>
    </row>
    <row r="51">
      <c r="A51" s="203" t="n"/>
      <c r="B51" s="203" t="n"/>
      <c r="C51" s="203" t="n"/>
      <c r="D51" s="203" t="n"/>
      <c r="E51" s="203" t="n"/>
      <c r="F51" s="204" t="n"/>
      <c r="G51" s="204" t="n"/>
      <c r="H51" s="203" t="n"/>
      <c r="I51" s="204" t="n"/>
      <c r="J51" s="203" t="n"/>
      <c r="K51" s="203" t="n"/>
      <c r="L51" s="203" t="n"/>
      <c r="M51" s="203" t="n"/>
      <c r="N51" s="203" t="n"/>
      <c r="O51" s="203" t="n"/>
      <c r="P51" s="203" t="n"/>
      <c r="Q51" s="203" t="n"/>
      <c r="R51" s="203" t="n"/>
      <c r="S51" s="203" t="n"/>
      <c r="T51" s="203" t="n"/>
      <c r="U51" s="203" t="n"/>
      <c r="V51" s="203" t="n"/>
      <c r="W51" s="203" t="n"/>
      <c r="X51" s="203" t="n"/>
      <c r="Y51" s="203" t="n"/>
      <c r="Z51" s="203" t="n"/>
      <c r="AA51" s="203" t="n"/>
      <c r="AB51" s="203" t="n"/>
      <c r="AC51" s="203" t="n"/>
      <c r="AD51" s="203" t="n"/>
      <c r="AE51" s="203" t="n"/>
      <c r="AF51" s="203" t="n"/>
      <c r="AG51" s="203" t="n"/>
      <c r="AH51" s="203" t="n"/>
      <c r="AI51" s="203" t="n"/>
      <c r="AJ51" s="203" t="n"/>
      <c r="AK51" s="203" t="n"/>
    </row>
    <row r="52">
      <c r="A52" s="203" t="n"/>
      <c r="B52" s="203" t="n"/>
      <c r="C52" s="203" t="n"/>
      <c r="D52" s="203" t="n"/>
      <c r="E52" s="203" t="n"/>
      <c r="F52" s="204" t="n"/>
      <c r="G52" s="204" t="n"/>
      <c r="H52" s="203" t="n"/>
      <c r="I52" s="204" t="n"/>
      <c r="J52" s="203" t="n"/>
      <c r="K52" s="203" t="n"/>
      <c r="L52" s="203" t="n"/>
      <c r="M52" s="203" t="n"/>
      <c r="N52" s="203" t="n"/>
      <c r="O52" s="203" t="n"/>
      <c r="P52" s="203" t="n"/>
      <c r="Q52" s="203" t="n"/>
      <c r="R52" s="203" t="n"/>
      <c r="S52" s="203" t="n"/>
      <c r="T52" s="203" t="n"/>
      <c r="U52" s="203" t="n"/>
      <c r="V52" s="203" t="n"/>
      <c r="W52" s="203" t="n"/>
      <c r="X52" s="203" t="n"/>
      <c r="Y52" s="203" t="n"/>
      <c r="Z52" s="203" t="n"/>
      <c r="AA52" s="203" t="n"/>
      <c r="AB52" s="203" t="n"/>
      <c r="AC52" s="203" t="n"/>
      <c r="AD52" s="203" t="n"/>
      <c r="AE52" s="203" t="n"/>
      <c r="AF52" s="203" t="n"/>
      <c r="AG52" s="203" t="n"/>
      <c r="AH52" s="203" t="n"/>
      <c r="AI52" s="203" t="n"/>
      <c r="AJ52" s="203" t="n"/>
      <c r="AK52" s="203" t="n"/>
    </row>
    <row r="53">
      <c r="A53" s="203" t="n"/>
      <c r="B53" s="203" t="n"/>
      <c r="C53" s="203" t="n"/>
      <c r="D53" s="203" t="n"/>
      <c r="E53" s="203" t="n"/>
      <c r="F53" s="204" t="n"/>
      <c r="G53" s="204" t="n"/>
      <c r="H53" s="203" t="n"/>
      <c r="I53" s="204" t="n"/>
      <c r="J53" s="203" t="n"/>
      <c r="K53" s="203" t="n"/>
      <c r="L53" s="203" t="n"/>
      <c r="M53" s="203" t="n"/>
      <c r="N53" s="203" t="n"/>
      <c r="O53" s="203" t="n"/>
      <c r="P53" s="203" t="n"/>
      <c r="Q53" s="203" t="n"/>
      <c r="R53" s="203" t="n"/>
      <c r="S53" s="203" t="n"/>
      <c r="T53" s="203" t="n"/>
      <c r="U53" s="203" t="n"/>
      <c r="V53" s="203" t="n"/>
      <c r="W53" s="203" t="n"/>
      <c r="X53" s="203" t="n"/>
      <c r="Y53" s="203" t="n"/>
      <c r="Z53" s="203" t="n"/>
      <c r="AA53" s="203" t="n"/>
      <c r="AB53" s="203" t="n"/>
      <c r="AC53" s="203" t="n"/>
      <c r="AD53" s="203" t="n"/>
      <c r="AE53" s="203" t="n"/>
      <c r="AF53" s="203" t="n"/>
      <c r="AG53" s="203" t="n"/>
      <c r="AH53" s="203" t="n"/>
      <c r="AI53" s="203" t="n"/>
      <c r="AJ53" s="203" t="n"/>
      <c r="AK53" s="203" t="n"/>
    </row>
    <row r="54">
      <c r="A54" s="203" t="n"/>
      <c r="B54" s="203" t="n"/>
      <c r="C54" s="203" t="n"/>
      <c r="D54" s="203" t="n"/>
      <c r="E54" s="203" t="n"/>
      <c r="F54" s="204" t="n"/>
      <c r="G54" s="204" t="n"/>
      <c r="H54" s="203" t="n"/>
      <c r="I54" s="204" t="n"/>
      <c r="J54" s="203" t="n"/>
      <c r="K54" s="203" t="n"/>
      <c r="L54" s="203" t="n"/>
      <c r="M54" s="203" t="n"/>
      <c r="N54" s="203" t="n"/>
      <c r="O54" s="203" t="n"/>
      <c r="P54" s="203" t="n"/>
      <c r="Q54" s="203" t="n"/>
      <c r="R54" s="203" t="n"/>
      <c r="S54" s="203" t="n"/>
      <c r="T54" s="203" t="n"/>
      <c r="U54" s="203" t="n"/>
      <c r="V54" s="203" t="n"/>
      <c r="W54" s="203" t="n"/>
      <c r="X54" s="203" t="n"/>
      <c r="Y54" s="203" t="n"/>
      <c r="Z54" s="203" t="n"/>
      <c r="AA54" s="203" t="n"/>
      <c r="AB54" s="203" t="n"/>
      <c r="AC54" s="203" t="n"/>
      <c r="AD54" s="203" t="n"/>
      <c r="AE54" s="203" t="n"/>
      <c r="AF54" s="203" t="n"/>
      <c r="AG54" s="203" t="n"/>
      <c r="AH54" s="203" t="n"/>
      <c r="AI54" s="203" t="n"/>
      <c r="AJ54" s="203" t="n"/>
      <c r="AK54" s="203" t="n"/>
    </row>
    <row r="55">
      <c r="A55" s="203" t="n"/>
      <c r="B55" s="203" t="n"/>
      <c r="C55" s="203" t="n"/>
      <c r="D55" s="203" t="n"/>
      <c r="E55" s="203" t="n"/>
      <c r="F55" s="204" t="n"/>
      <c r="G55" s="204" t="n"/>
      <c r="H55" s="203" t="n"/>
      <c r="I55" s="204" t="n"/>
      <c r="J55" s="203" t="n"/>
      <c r="K55" s="203" t="n"/>
      <c r="L55" s="203" t="n"/>
      <c r="M55" s="203" t="n"/>
      <c r="N55" s="203" t="n"/>
      <c r="O55" s="203" t="n"/>
      <c r="P55" s="203" t="n"/>
      <c r="Q55" s="203" t="n"/>
      <c r="R55" s="203" t="n"/>
      <c r="S55" s="203" t="n"/>
      <c r="T55" s="203" t="n"/>
      <c r="U55" s="203" t="n"/>
      <c r="V55" s="203" t="n"/>
      <c r="W55" s="203" t="n"/>
      <c r="X55" s="203" t="n"/>
      <c r="Y55" s="203" t="n"/>
      <c r="Z55" s="203" t="n"/>
      <c r="AA55" s="203" t="n"/>
      <c r="AB55" s="203" t="n"/>
      <c r="AC55" s="203" t="n"/>
      <c r="AD55" s="203" t="n"/>
      <c r="AE55" s="203" t="n"/>
      <c r="AF55" s="203" t="n"/>
      <c r="AG55" s="203" t="n"/>
      <c r="AH55" s="203" t="n"/>
      <c r="AI55" s="203" t="n"/>
      <c r="AJ55" s="203" t="n"/>
      <c r="AK55" s="203" t="n"/>
    </row>
    <row r="56">
      <c r="A56" s="203" t="n"/>
      <c r="B56" s="203" t="n"/>
      <c r="C56" s="203" t="n"/>
      <c r="D56" s="203" t="n"/>
      <c r="E56" s="203" t="n"/>
      <c r="F56" s="204" t="n"/>
      <c r="G56" s="204" t="n"/>
      <c r="H56" s="203" t="n"/>
      <c r="I56" s="204" t="n"/>
      <c r="J56" s="203" t="n"/>
      <c r="K56" s="203" t="n"/>
      <c r="L56" s="203" t="n"/>
      <c r="M56" s="203" t="n"/>
      <c r="N56" s="203" t="n"/>
      <c r="O56" s="203" t="n"/>
      <c r="P56" s="203" t="n"/>
      <c r="Q56" s="203" t="n"/>
      <c r="R56" s="203" t="n"/>
      <c r="S56" s="203" t="n"/>
      <c r="T56" s="203" t="n"/>
      <c r="U56" s="203" t="n"/>
      <c r="V56" s="203" t="n"/>
      <c r="W56" s="203" t="n"/>
      <c r="X56" s="203" t="n"/>
      <c r="Y56" s="203" t="n"/>
      <c r="Z56" s="203" t="n"/>
      <c r="AA56" s="203" t="n"/>
      <c r="AB56" s="203" t="n"/>
      <c r="AC56" s="203" t="n"/>
      <c r="AD56" s="203" t="n"/>
      <c r="AE56" s="203" t="n"/>
      <c r="AF56" s="203" t="n"/>
      <c r="AG56" s="203" t="n"/>
      <c r="AH56" s="203" t="n"/>
      <c r="AI56" s="203" t="n"/>
      <c r="AJ56" s="203" t="n"/>
      <c r="AK56" s="203" t="n"/>
    </row>
    <row r="57">
      <c r="A57" s="203" t="n"/>
      <c r="B57" s="203" t="n"/>
      <c r="C57" s="203" t="n"/>
      <c r="D57" s="203" t="n"/>
      <c r="E57" s="203" t="n"/>
      <c r="F57" s="204" t="n"/>
      <c r="G57" s="204" t="n"/>
      <c r="H57" s="203" t="n"/>
      <c r="I57" s="204" t="n"/>
      <c r="J57" s="203" t="n"/>
      <c r="K57" s="203" t="n"/>
      <c r="L57" s="203" t="n"/>
      <c r="M57" s="203" t="n"/>
      <c r="N57" s="203" t="n"/>
      <c r="O57" s="203" t="n"/>
      <c r="P57" s="203" t="n"/>
      <c r="Q57" s="203" t="n"/>
      <c r="R57" s="203" t="n"/>
      <c r="S57" s="203" t="n"/>
      <c r="T57" s="203" t="n"/>
      <c r="U57" s="203" t="n"/>
      <c r="V57" s="203" t="n"/>
      <c r="W57" s="203" t="n"/>
      <c r="X57" s="203" t="n"/>
      <c r="Y57" s="203" t="n"/>
      <c r="Z57" s="203" t="n"/>
      <c r="AA57" s="203" t="n"/>
      <c r="AB57" s="203" t="n"/>
      <c r="AC57" s="203" t="n"/>
      <c r="AD57" s="203" t="n"/>
      <c r="AE57" s="203" t="n"/>
      <c r="AF57" s="203" t="n"/>
      <c r="AG57" s="203" t="n"/>
      <c r="AH57" s="203" t="n"/>
      <c r="AI57" s="203" t="n"/>
      <c r="AJ57" s="203" t="n"/>
      <c r="AK57" s="203" t="n"/>
    </row>
    <row r="58">
      <c r="A58" s="203" t="n"/>
      <c r="B58" s="203" t="n"/>
      <c r="C58" s="203" t="n"/>
      <c r="D58" s="203" t="n"/>
      <c r="E58" s="203" t="n"/>
      <c r="F58" s="204" t="n"/>
      <c r="G58" s="204" t="n"/>
      <c r="H58" s="203" t="n"/>
      <c r="I58" s="204" t="n"/>
      <c r="J58" s="203" t="n"/>
      <c r="K58" s="203" t="n"/>
      <c r="L58" s="203" t="n"/>
      <c r="M58" s="203" t="n"/>
      <c r="N58" s="203" t="n"/>
      <c r="O58" s="203" t="n"/>
      <c r="P58" s="203" t="n"/>
      <c r="Q58" s="203" t="n"/>
      <c r="R58" s="203" t="n"/>
      <c r="S58" s="203" t="n"/>
      <c r="T58" s="203" t="n"/>
      <c r="U58" s="203" t="n"/>
      <c r="V58" s="203" t="n"/>
      <c r="W58" s="203" t="n"/>
      <c r="X58" s="203" t="n"/>
      <c r="Y58" s="203" t="n"/>
      <c r="Z58" s="203" t="n"/>
      <c r="AA58" s="203" t="n"/>
      <c r="AB58" s="203" t="n"/>
      <c r="AC58" s="203" t="n"/>
      <c r="AD58" s="203" t="n"/>
      <c r="AE58" s="203" t="n"/>
      <c r="AF58" s="203" t="n"/>
      <c r="AG58" s="203" t="n"/>
      <c r="AH58" s="203" t="n"/>
      <c r="AI58" s="203" t="n"/>
      <c r="AJ58" s="203" t="n"/>
      <c r="AK58" s="203" t="n"/>
    </row>
    <row r="59">
      <c r="A59" s="203" t="n"/>
      <c r="B59" s="203" t="n"/>
      <c r="C59" s="203" t="n"/>
      <c r="D59" s="203" t="n"/>
      <c r="E59" s="203" t="n"/>
      <c r="F59" s="204" t="n"/>
      <c r="G59" s="204" t="n"/>
      <c r="H59" s="203" t="n"/>
      <c r="I59" s="204" t="n"/>
      <c r="J59" s="203" t="n"/>
      <c r="K59" s="203" t="n"/>
      <c r="L59" s="203" t="n"/>
      <c r="M59" s="203" t="n"/>
      <c r="N59" s="203" t="n"/>
      <c r="O59" s="203" t="n"/>
      <c r="P59" s="203" t="n"/>
      <c r="Q59" s="203" t="n"/>
      <c r="R59" s="203" t="n"/>
      <c r="S59" s="203" t="n"/>
      <c r="T59" s="203" t="n"/>
      <c r="U59" s="203" t="n"/>
      <c r="V59" s="203" t="n"/>
      <c r="W59" s="203" t="n"/>
      <c r="X59" s="203" t="n"/>
      <c r="Y59" s="203" t="n"/>
      <c r="Z59" s="203" t="n"/>
      <c r="AA59" s="203" t="n"/>
      <c r="AB59" s="203" t="n"/>
      <c r="AC59" s="203" t="n"/>
      <c r="AD59" s="203" t="n"/>
      <c r="AE59" s="203" t="n"/>
      <c r="AF59" s="203" t="n"/>
      <c r="AG59" s="203" t="n"/>
      <c r="AH59" s="203" t="n"/>
      <c r="AI59" s="203" t="n"/>
      <c r="AJ59" s="203" t="n"/>
      <c r="AK59" s="203" t="n"/>
    </row>
    <row r="60">
      <c r="A60" s="203" t="n"/>
      <c r="B60" s="203" t="n"/>
      <c r="C60" s="203" t="n"/>
      <c r="D60" s="203" t="n"/>
      <c r="E60" s="203" t="n"/>
      <c r="F60" s="204" t="n"/>
      <c r="G60" s="204" t="n"/>
      <c r="H60" s="203" t="n"/>
      <c r="I60" s="204" t="n"/>
      <c r="J60" s="203" t="n"/>
      <c r="K60" s="203" t="n"/>
      <c r="L60" s="203" t="n"/>
      <c r="M60" s="203" t="n"/>
      <c r="N60" s="203" t="n"/>
      <c r="O60" s="203" t="n"/>
      <c r="P60" s="203" t="n"/>
      <c r="Q60" s="203" t="n"/>
      <c r="R60" s="203" t="n"/>
      <c r="S60" s="203" t="n"/>
      <c r="T60" s="203" t="n"/>
      <c r="U60" s="203" t="n"/>
      <c r="V60" s="203" t="n"/>
      <c r="W60" s="203" t="n"/>
      <c r="X60" s="203" t="n"/>
      <c r="Y60" s="203" t="n"/>
      <c r="Z60" s="203" t="n"/>
      <c r="AA60" s="203" t="n"/>
      <c r="AB60" s="203" t="n"/>
      <c r="AC60" s="203" t="n"/>
      <c r="AD60" s="203" t="n"/>
      <c r="AE60" s="203" t="n"/>
      <c r="AF60" s="203" t="n"/>
      <c r="AG60" s="203" t="n"/>
      <c r="AH60" s="203" t="n"/>
      <c r="AI60" s="203" t="n"/>
      <c r="AJ60" s="203" t="n"/>
      <c r="AK60" s="203" t="n"/>
    </row>
    <row r="61">
      <c r="A61" s="203" t="n"/>
      <c r="B61" s="203" t="n"/>
      <c r="C61" s="203" t="n"/>
      <c r="D61" s="203" t="n"/>
      <c r="E61" s="203" t="n"/>
      <c r="F61" s="204" t="n"/>
      <c r="G61" s="204" t="n"/>
      <c r="H61" s="203" t="n"/>
      <c r="I61" s="204" t="n"/>
      <c r="J61" s="203" t="n"/>
      <c r="K61" s="203" t="n"/>
      <c r="L61" s="203" t="n"/>
      <c r="M61" s="203" t="n"/>
      <c r="N61" s="203" t="n"/>
      <c r="O61" s="203" t="n"/>
      <c r="P61" s="203" t="n"/>
      <c r="Q61" s="203" t="n"/>
      <c r="R61" s="203" t="n"/>
      <c r="S61" s="203" t="n"/>
      <c r="T61" s="203" t="n"/>
      <c r="U61" s="203" t="n"/>
      <c r="V61" s="203" t="n"/>
      <c r="W61" s="203" t="n"/>
      <c r="X61" s="203" t="n"/>
      <c r="Y61" s="203" t="n"/>
      <c r="Z61" s="203" t="n"/>
      <c r="AA61" s="203" t="n"/>
      <c r="AB61" s="203" t="n"/>
      <c r="AC61" s="203" t="n"/>
      <c r="AD61" s="203" t="n"/>
      <c r="AE61" s="203" t="n"/>
      <c r="AF61" s="203" t="n"/>
      <c r="AG61" s="203" t="n"/>
      <c r="AH61" s="203" t="n"/>
      <c r="AI61" s="203" t="n"/>
      <c r="AJ61" s="203" t="n"/>
      <c r="AK61" s="203" t="n"/>
    </row>
    <row r="62">
      <c r="A62" s="203" t="n"/>
      <c r="B62" s="203" t="n"/>
      <c r="C62" s="203" t="n"/>
      <c r="D62" s="203" t="n"/>
      <c r="E62" s="203" t="n"/>
      <c r="F62" s="204" t="n"/>
      <c r="G62" s="204" t="n"/>
      <c r="H62" s="203" t="n"/>
      <c r="I62" s="204" t="n"/>
      <c r="J62" s="203" t="n"/>
      <c r="K62" s="203" t="n"/>
      <c r="L62" s="203" t="n"/>
      <c r="M62" s="203" t="n"/>
      <c r="N62" s="203" t="n"/>
      <c r="O62" s="203" t="n"/>
      <c r="P62" s="203" t="n"/>
      <c r="Q62" s="203" t="n"/>
      <c r="R62" s="203" t="n"/>
      <c r="S62" s="203" t="n"/>
      <c r="T62" s="203" t="n"/>
      <c r="U62" s="203" t="n"/>
      <c r="V62" s="203" t="n"/>
      <c r="W62" s="203" t="n"/>
      <c r="X62" s="203" t="n"/>
      <c r="Y62" s="203" t="n"/>
      <c r="Z62" s="203" t="n"/>
      <c r="AA62" s="203" t="n"/>
      <c r="AB62" s="203" t="n"/>
      <c r="AC62" s="203" t="n"/>
      <c r="AD62" s="203" t="n"/>
      <c r="AE62" s="203" t="n"/>
      <c r="AF62" s="203" t="n"/>
      <c r="AG62" s="203" t="n"/>
      <c r="AH62" s="203" t="n"/>
      <c r="AI62" s="203" t="n"/>
      <c r="AJ62" s="203" t="n"/>
      <c r="AK62" s="203" t="n"/>
    </row>
    <row r="63">
      <c r="A63" s="203" t="n"/>
      <c r="B63" s="203" t="n"/>
      <c r="C63" s="203" t="n"/>
      <c r="D63" s="203" t="n"/>
      <c r="E63" s="203" t="n"/>
      <c r="F63" s="204" t="n"/>
      <c r="G63" s="204" t="n"/>
      <c r="H63" s="203" t="n"/>
      <c r="I63" s="204" t="n"/>
      <c r="J63" s="203" t="n"/>
      <c r="K63" s="203" t="n"/>
      <c r="L63" s="203" t="n"/>
      <c r="M63" s="203" t="n"/>
      <c r="N63" s="203" t="n"/>
      <c r="O63" s="203" t="n"/>
      <c r="P63" s="203" t="n"/>
      <c r="Q63" s="203" t="n"/>
      <c r="R63" s="203" t="n"/>
      <c r="S63" s="203" t="n"/>
      <c r="T63" s="203" t="n"/>
      <c r="U63" s="203" t="n"/>
      <c r="V63" s="203" t="n"/>
      <c r="W63" s="203" t="n"/>
      <c r="X63" s="203" t="n"/>
      <c r="Y63" s="203" t="n"/>
      <c r="Z63" s="203" t="n"/>
      <c r="AA63" s="203" t="n"/>
      <c r="AB63" s="203" t="n"/>
      <c r="AC63" s="203" t="n"/>
      <c r="AD63" s="203" t="n"/>
      <c r="AE63" s="203" t="n"/>
      <c r="AF63" s="203" t="n"/>
      <c r="AG63" s="203" t="n"/>
      <c r="AH63" s="203" t="n"/>
      <c r="AI63" s="203" t="n"/>
      <c r="AJ63" s="203" t="n"/>
      <c r="AK63" s="203" t="n"/>
    </row>
    <row r="64">
      <c r="A64" s="203" t="n"/>
      <c r="B64" s="203" t="n"/>
      <c r="C64" s="203" t="n"/>
      <c r="D64" s="203" t="n"/>
      <c r="E64" s="203" t="n"/>
      <c r="F64" s="204" t="n"/>
      <c r="G64" s="204" t="n"/>
      <c r="H64" s="203" t="n"/>
      <c r="I64" s="204" t="n"/>
      <c r="J64" s="203" t="n"/>
      <c r="K64" s="203" t="n"/>
      <c r="L64" s="203" t="n"/>
      <c r="M64" s="203" t="n"/>
      <c r="N64" s="203" t="n"/>
      <c r="O64" s="203" t="n"/>
      <c r="P64" s="203" t="n"/>
      <c r="Q64" s="203" t="n"/>
      <c r="R64" s="203" t="n"/>
      <c r="S64" s="203" t="n"/>
      <c r="T64" s="203" t="n"/>
      <c r="U64" s="203" t="n"/>
      <c r="V64" s="203" t="n"/>
      <c r="W64" s="203" t="n"/>
      <c r="X64" s="203" t="n"/>
      <c r="Y64" s="203" t="n"/>
      <c r="Z64" s="203" t="n"/>
      <c r="AA64" s="203" t="n"/>
      <c r="AB64" s="203" t="n"/>
      <c r="AC64" s="203" t="n"/>
      <c r="AD64" s="203" t="n"/>
      <c r="AE64" s="203" t="n"/>
      <c r="AF64" s="203" t="n"/>
      <c r="AG64" s="203" t="n"/>
      <c r="AH64" s="203" t="n"/>
      <c r="AI64" s="203" t="n"/>
      <c r="AJ64" s="203" t="n"/>
      <c r="AK64" s="203" t="n"/>
    </row>
    <row r="65">
      <c r="A65" s="203" t="n"/>
      <c r="B65" s="203" t="n"/>
      <c r="C65" s="203" t="n"/>
      <c r="D65" s="203" t="n"/>
      <c r="E65" s="203" t="n"/>
      <c r="F65" s="204" t="n"/>
      <c r="G65" s="204" t="n"/>
      <c r="H65" s="203" t="n"/>
      <c r="I65" s="204" t="n"/>
      <c r="J65" s="203" t="n"/>
      <c r="K65" s="203" t="n"/>
      <c r="L65" s="203" t="n"/>
      <c r="M65" s="203" t="n"/>
      <c r="N65" s="203" t="n"/>
      <c r="O65" s="203" t="n"/>
      <c r="P65" s="203" t="n"/>
      <c r="Q65" s="203" t="n"/>
      <c r="R65" s="203" t="n"/>
      <c r="S65" s="203" t="n"/>
      <c r="T65" s="203" t="n"/>
      <c r="U65" s="203" t="n"/>
      <c r="V65" s="203" t="n"/>
      <c r="W65" s="203" t="n"/>
      <c r="X65" s="203" t="n"/>
      <c r="Y65" s="203" t="n"/>
      <c r="Z65" s="203" t="n"/>
      <c r="AA65" s="203" t="n"/>
      <c r="AB65" s="203" t="n"/>
      <c r="AC65" s="203" t="n"/>
      <c r="AD65" s="203" t="n"/>
      <c r="AE65" s="203" t="n"/>
      <c r="AF65" s="203" t="n"/>
      <c r="AG65" s="203" t="n"/>
      <c r="AH65" s="203" t="n"/>
      <c r="AI65" s="203" t="n"/>
      <c r="AJ65" s="203" t="n"/>
      <c r="AK65" s="203" t="n"/>
    </row>
    <row r="66">
      <c r="A66" s="203" t="n"/>
    </row>
    <row r="67">
      <c r="A67" s="203" t="n"/>
    </row>
    <row r="68">
      <c r="A68" s="203" t="n"/>
    </row>
    <row r="69">
      <c r="A69" s="203" t="n"/>
    </row>
    <row r="70">
      <c r="A70" s="203" t="n"/>
    </row>
    <row r="71">
      <c r="A71" s="203" t="n"/>
    </row>
    <row r="72">
      <c r="A72" s="203" t="n"/>
    </row>
    <row r="73">
      <c r="A73" s="203" t="n"/>
    </row>
    <row r="74">
      <c r="A74" s="203" t="n"/>
    </row>
    <row r="75">
      <c r="A75" s="203" t="n"/>
    </row>
    <row r="76">
      <c r="A76" s="203" t="n"/>
    </row>
    <row r="77">
      <c r="A77" s="203" t="n"/>
    </row>
    <row r="78">
      <c r="A78" s="203" t="n"/>
    </row>
    <row r="79">
      <c r="A79" s="203" t="n"/>
    </row>
    <row r="80">
      <c r="A80" s="203" t="n"/>
    </row>
    <row r="81">
      <c r="A81" s="203" t="n"/>
    </row>
    <row r="82">
      <c r="A82" s="203" t="n"/>
    </row>
    <row r="83">
      <c r="A83" s="203" t="n"/>
    </row>
    <row r="84">
      <c r="A84" s="203" t="n"/>
    </row>
    <row r="85">
      <c r="A85" s="203" t="n"/>
    </row>
    <row r="86">
      <c r="A86" s="203" t="n"/>
    </row>
    <row r="87">
      <c r="A87" s="203" t="n"/>
    </row>
    <row r="88">
      <c r="A88" s="203" t="n"/>
    </row>
    <row r="89">
      <c r="A89" s="203" t="n"/>
    </row>
    <row r="90">
      <c r="A90" s="203" t="n"/>
    </row>
  </sheetData>
  <mergeCells count="4">
    <mergeCell ref="C13:F13"/>
    <mergeCell ref="C16:F16"/>
    <mergeCell ref="C14:F14"/>
    <mergeCell ref="C17:F17"/>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theme="8" tint="0.7999816888943144"/>
    <outlinePr summaryBelow="1" summaryRight="1"/>
    <pageSetUpPr/>
  </sheetPr>
  <dimension ref="B1:I64"/>
  <sheetViews>
    <sheetView showGridLines="0" zoomScaleNormal="100" workbookViewId="0">
      <selection activeCell="D29" sqref="D29"/>
    </sheetView>
  </sheetViews>
  <sheetFormatPr baseColWidth="10" defaultColWidth="10.6640625" defaultRowHeight="14"/>
  <cols>
    <col width="10.6640625" customWidth="1" style="2" min="1" max="1"/>
    <col width="40.6640625" customWidth="1" style="2" min="2" max="2"/>
    <col width="12.1640625" bestFit="1" customWidth="1" style="2" min="3" max="3"/>
    <col width="17.1640625" customWidth="1" style="46" min="4" max="4"/>
    <col width="15.6640625" customWidth="1" style="46" min="5" max="5"/>
    <col width="13.6640625" customWidth="1" style="46" min="6" max="6"/>
    <col width="10.6640625" customWidth="1" style="46" min="7" max="8"/>
    <col width="11.6640625" bestFit="1" customWidth="1" style="2" min="9" max="9"/>
    <col width="10.6640625" customWidth="1" style="2" min="10" max="16384"/>
  </cols>
  <sheetData>
    <row r="1" ht="34.25" customHeight="1" thickBot="1">
      <c r="B1" s="81" t="inlineStr">
        <is>
          <t xml:space="preserve">Revenus de l'indépendant </t>
        </is>
      </c>
      <c r="C1" s="82" t="n"/>
      <c r="D1" s="161" t="inlineStr">
        <is>
          <t>chiffres pour 2025</t>
        </is>
      </c>
      <c r="E1" s="2" t="n"/>
      <c r="F1" s="2" t="n"/>
      <c r="G1" s="2" t="n"/>
      <c r="H1" s="2" t="n"/>
    </row>
    <row r="2">
      <c r="B2" s="36" t="inlineStr">
        <is>
          <t>Chiffre d'affaire mensuel moyen hors TVA</t>
        </is>
      </c>
      <c r="C2" s="37" t="n"/>
      <c r="D2" s="38" t="n"/>
      <c r="E2" s="2" t="n"/>
      <c r="F2" s="2" t="n"/>
      <c r="G2" s="2" t="n"/>
      <c r="H2" s="2" t="n"/>
    </row>
    <row r="3">
      <c r="B3" s="39" t="inlineStr">
        <is>
          <t>Différentes approches à combiner éventuellement</t>
        </is>
      </c>
      <c r="D3" s="40" t="n"/>
      <c r="E3" s="2" t="n"/>
      <c r="F3" s="2" t="n"/>
      <c r="G3" s="2" t="n"/>
      <c r="H3" s="2" t="n"/>
    </row>
    <row r="4">
      <c r="B4" s="41" t="inlineStr">
        <is>
          <t>nombre d'heures prestées par mois</t>
        </is>
      </c>
      <c r="D4" s="40" t="n"/>
      <c r="E4" s="2" t="n"/>
      <c r="F4" s="2" t="n"/>
      <c r="G4" s="2" t="n"/>
      <c r="H4" s="2" t="n"/>
    </row>
    <row r="5">
      <c r="B5" s="41" t="inlineStr">
        <is>
          <t>tarif horaire</t>
        </is>
      </c>
      <c r="D5" s="40" t="n"/>
      <c r="E5" s="2" t="n"/>
      <c r="F5" s="2" t="n"/>
      <c r="G5" s="2" t="n"/>
      <c r="H5" s="2" t="n"/>
    </row>
    <row r="6">
      <c r="B6" s="41" t="inlineStr">
        <is>
          <t>tarif à la journée de 8h</t>
        </is>
      </c>
      <c r="D6" s="40" t="n"/>
      <c r="E6" s="2" t="n"/>
      <c r="F6" s="2" t="n"/>
      <c r="G6" s="2" t="n"/>
      <c r="H6" s="2" t="n"/>
    </row>
    <row r="7">
      <c r="B7" s="41" t="inlineStr">
        <is>
          <t>tarif à la pièce</t>
        </is>
      </c>
      <c r="D7" s="40" t="n"/>
      <c r="E7" s="2" t="n"/>
      <c r="F7" s="2" t="n"/>
      <c r="G7" s="2" t="n"/>
      <c r="H7" s="2" t="n"/>
    </row>
    <row r="8">
      <c r="B8" s="41" t="inlineStr">
        <is>
          <t>CA dans Jobyourself</t>
        </is>
      </c>
      <c r="D8" s="40" t="n"/>
      <c r="E8" s="2" t="n"/>
      <c r="F8" s="2" t="n"/>
      <c r="G8" s="2" t="n"/>
      <c r="H8" s="2" t="n"/>
    </row>
    <row r="9" ht="15" customHeight="1" thickBot="1">
      <c r="B9" s="42" t="n"/>
      <c r="C9" s="43" t="n"/>
      <c r="D9" s="44" t="n"/>
      <c r="E9" s="2" t="n"/>
      <c r="F9" s="2" t="n"/>
      <c r="G9" s="2" t="n"/>
      <c r="H9" s="2" t="n"/>
    </row>
    <row r="11">
      <c r="B11" s="45" t="inlineStr">
        <is>
          <t>Calcul du net</t>
        </is>
      </c>
      <c r="E11" s="2" t="n"/>
      <c r="F11" s="2" t="n"/>
      <c r="G11" s="2" t="n"/>
      <c r="H11" s="2" t="n"/>
    </row>
    <row r="12" ht="15" customHeight="1" thickBot="1">
      <c r="B12" s="1" t="inlineStr">
        <is>
          <t>CA mensuel moyen</t>
        </is>
      </c>
      <c r="D12" s="296">
        <f>'CA et Marge Brute'!J5</f>
        <v/>
      </c>
      <c r="E12" s="2" t="n"/>
      <c r="F12" s="2" t="n"/>
      <c r="G12" s="2" t="n"/>
      <c r="H12" s="2" t="n"/>
    </row>
    <row r="13" ht="15" customHeight="1" thickBot="1">
      <c r="B13" s="1" t="inlineStr">
        <is>
          <t>mois d'activités</t>
        </is>
      </c>
      <c r="C13" s="227" t="n">
        <v>11</v>
      </c>
      <c r="D13" s="297" t="n"/>
      <c r="E13" s="2" t="n"/>
      <c r="F13" s="2" t="n"/>
      <c r="G13" s="2" t="n"/>
      <c r="H13" s="2" t="n"/>
    </row>
    <row r="14">
      <c r="B14" s="1" t="inlineStr">
        <is>
          <t>CA annuel</t>
        </is>
      </c>
      <c r="D14" s="298">
        <f>D12*C13</f>
        <v/>
      </c>
      <c r="E14" s="2" t="n"/>
      <c r="F14" s="2" t="n"/>
      <c r="G14" s="2" t="n"/>
      <c r="H14" s="2" t="n"/>
    </row>
    <row r="15" hidden="1" ht="17" customHeight="1" thickBot="1">
      <c r="B15" s="131" t="inlineStr">
        <is>
          <t>% frais approvisionnement</t>
        </is>
      </c>
      <c r="C15" s="130" t="n">
        <v>0</v>
      </c>
      <c r="D15" s="299">
        <f>D14*C15</f>
        <v/>
      </c>
      <c r="E15" s="2" t="n"/>
      <c r="F15" s="2" t="n"/>
      <c r="G15" s="2" t="n"/>
      <c r="H15" s="2" t="n"/>
    </row>
    <row r="16" hidden="1" ht="17" customHeight="1" thickBot="1">
      <c r="B16" s="131" t="inlineStr">
        <is>
          <t>% frais généraux (forfaitaire 20% CA)</t>
        </is>
      </c>
      <c r="C16" s="130" t="n">
        <v>0</v>
      </c>
      <c r="D16" s="299">
        <f>D14*C16</f>
        <v/>
      </c>
      <c r="E16" s="2" t="n"/>
      <c r="F16" s="2" t="n"/>
      <c r="G16" s="2" t="n"/>
      <c r="H16" s="2" t="n"/>
    </row>
    <row r="17">
      <c r="B17" s="50" t="inlineStr">
        <is>
          <t>ou Calcul approvisionnement annuel</t>
        </is>
      </c>
      <c r="D17" s="300">
        <f>'CA et Marge Brute'!K5*C13</f>
        <v/>
      </c>
      <c r="E17" s="51" t="inlineStr">
        <is>
          <t>sur nb de mois d'activité</t>
        </is>
      </c>
    </row>
    <row r="18">
      <c r="B18" s="50" t="inlineStr">
        <is>
          <t>ou Calcul frais généraux annuel</t>
        </is>
      </c>
      <c r="D18" s="301">
        <f>'Frais Généraux'!E30*12</f>
        <v/>
      </c>
      <c r="E18" s="51" t="inlineStr">
        <is>
          <t>12 mois</t>
        </is>
      </c>
    </row>
    <row r="19">
      <c r="B19" s="50" t="inlineStr">
        <is>
          <t>Amortissement annuel (année 1)</t>
        </is>
      </c>
      <c r="D19" s="302">
        <f>Investissement!H21*12</f>
        <v/>
      </c>
      <c r="E19" s="51" t="n"/>
    </row>
    <row r="20" ht="15" customHeight="1" thickBot="1">
      <c r="B20" s="1" t="inlineStr">
        <is>
          <t>Résultat d'exploitation</t>
        </is>
      </c>
      <c r="D20" s="303">
        <f>D14-D15-D16-D17-D18-D19</f>
        <v/>
      </c>
    </row>
    <row r="21" ht="15" customHeight="1" thickBot="1">
      <c r="B21" s="1" t="n"/>
      <c r="D21" s="297" t="n"/>
      <c r="E21" s="133" t="inlineStr">
        <is>
          <t>Principal</t>
        </is>
      </c>
      <c r="F21" s="133" t="n"/>
      <c r="H21" s="2" t="n"/>
    </row>
    <row r="22" ht="17" customHeight="1" thickBot="1">
      <c r="B22" s="116" t="inlineStr">
        <is>
          <t>INASTI entre 13.993,78 et 60.427,15</t>
        </is>
      </c>
      <c r="C22" s="304" t="n">
        <v>0.205</v>
      </c>
      <c r="D22" s="305">
        <f>(D20*C22)+((D20*C22)*0.04)</f>
        <v/>
      </c>
      <c r="E22" s="306">
        <f>715.64*4</f>
        <v/>
      </c>
      <c r="F22" s="306" t="n"/>
      <c r="H22" s="2" t="n"/>
    </row>
    <row r="23">
      <c r="B23" s="117" t="inlineStr">
        <is>
          <t>frais 4% guichet d'entreprise inclus</t>
        </is>
      </c>
      <c r="C23" s="118" t="inlineStr">
        <is>
          <t>par trimestre</t>
        </is>
      </c>
      <c r="D23" s="297" t="n"/>
    </row>
    <row r="24" ht="15" customHeight="1" thickBot="1">
      <c r="B24" s="53" t="n"/>
      <c r="C24" s="54" t="n"/>
      <c r="D24" s="297" t="n"/>
    </row>
    <row r="25" ht="15" customHeight="1" thickBot="1">
      <c r="B25" s="1" t="inlineStr">
        <is>
          <t>BASE imposable</t>
        </is>
      </c>
      <c r="D25" s="307">
        <f>+D20-D22</f>
        <v/>
      </c>
    </row>
    <row r="26">
      <c r="B26" s="53" t="n"/>
      <c r="C26" s="54" t="n"/>
    </row>
    <row r="27" ht="15" customHeight="1" thickBot="1">
      <c r="B27" s="57" t="inlineStr">
        <is>
          <t xml:space="preserve">IMPOTS sur base de </t>
        </is>
      </c>
      <c r="C27" s="46" t="n"/>
      <c r="D27" s="297">
        <f>D25</f>
        <v/>
      </c>
      <c r="H27" s="2" t="n"/>
    </row>
    <row r="28" ht="17" customHeight="1" thickBot="1">
      <c r="B28" s="308" t="n">
        <v>15820</v>
      </c>
      <c r="C28" s="119" t="n">
        <v>0.25</v>
      </c>
      <c r="D28" s="309">
        <f>IF(D25&lt;B28,D25*C28,3955)</f>
        <v/>
      </c>
      <c r="H28" s="2" t="n"/>
    </row>
    <row r="29" ht="17" customHeight="1" thickBot="1">
      <c r="B29" s="308" t="n">
        <v>27920</v>
      </c>
      <c r="C29" s="119" t="n">
        <v>0.4</v>
      </c>
      <c r="D29" s="310">
        <f>IF(D28=3955,IF((AND(D25&gt;=B28,D25&lt;B29)),(D25-B28)*C29,4840),0)</f>
        <v/>
      </c>
      <c r="H29" s="2" t="n"/>
      <c r="I29" s="59" t="n"/>
    </row>
    <row r="30" ht="17" customHeight="1" thickBot="1">
      <c r="B30" s="308" t="n">
        <v>48320</v>
      </c>
      <c r="C30" s="119" t="n">
        <v>0.45</v>
      </c>
      <c r="D30" s="310">
        <f>IF(D29=4840,IF((AND(D25&gt;=B29,D25&lt;B30)),(D25-B29)*C30,5652),0)</f>
        <v/>
      </c>
      <c r="H30" s="2" t="n"/>
    </row>
    <row r="31" ht="17" customHeight="1" thickBot="1">
      <c r="B31" s="311" t="inlineStr">
        <is>
          <t>≥ 48 320,00 €</t>
        </is>
      </c>
      <c r="C31" s="119" t="n">
        <v>0.5</v>
      </c>
      <c r="D31" s="312">
        <f>IF(D30=5652,IF((AND(D25&gt;=B30,D25&lt;B31)),(D25-B30)*C31,""),0)</f>
        <v/>
      </c>
      <c r="H31" s="2" t="n"/>
      <c r="I31" s="59" t="n"/>
    </row>
    <row r="32" ht="16" customHeight="1" thickBot="1">
      <c r="B32" s="60" t="inlineStr">
        <is>
          <t>TOTAL provisoire IMPOTS</t>
        </is>
      </c>
      <c r="C32" s="61" t="n"/>
      <c r="D32" s="303">
        <f>SUM(D28:D31)</f>
        <v/>
      </c>
      <c r="H32" s="2" t="n"/>
    </row>
    <row r="33">
      <c r="B33" s="62" t="n"/>
      <c r="C33" s="61" t="n"/>
      <c r="D33" s="313" t="n"/>
      <c r="H33" s="2" t="n"/>
    </row>
    <row r="34">
      <c r="B34" s="64" t="inlineStr">
        <is>
          <t>montant exonéré</t>
        </is>
      </c>
      <c r="C34" s="314" t="n"/>
      <c r="D34" s="315" t="n">
        <v>0</v>
      </c>
      <c r="E34" s="66" t="inlineStr">
        <is>
          <t>*chiffre 2024</t>
        </is>
      </c>
      <c r="F34" s="316" t="n"/>
      <c r="G34" s="2" t="n"/>
      <c r="H34" s="2" t="n"/>
    </row>
    <row r="35">
      <c r="B35" s="68" t="inlineStr">
        <is>
          <t xml:space="preserve">conjoint idem </t>
        </is>
      </c>
      <c r="C35" s="314" t="n"/>
      <c r="D35" s="317" t="n"/>
      <c r="E35" s="66" t="n"/>
      <c r="F35" s="316" t="n"/>
      <c r="G35" s="2" t="n"/>
      <c r="H35" s="2" t="n"/>
    </row>
    <row r="36" ht="15" customHeight="1" thickBot="1">
      <c r="B36" s="68" t="inlineStr">
        <is>
          <t>montant exonéré/enfant</t>
        </is>
      </c>
      <c r="C36" s="314" t="n"/>
      <c r="D36" s="317" t="n"/>
      <c r="E36" s="50" t="n"/>
      <c r="F36" s="316" t="n"/>
      <c r="G36" s="2" t="n"/>
      <c r="H36" s="2" t="n"/>
    </row>
    <row r="37" ht="15" customHeight="1" thickBot="1">
      <c r="B37" s="69" t="inlineStr">
        <is>
          <t>Total quotités exemptées</t>
        </is>
      </c>
      <c r="C37" s="70" t="n"/>
      <c r="D37" s="318">
        <f>SUM(D34:D36)</f>
        <v/>
      </c>
      <c r="G37" s="2" t="n"/>
      <c r="H37" s="2" t="n"/>
    </row>
    <row r="38" ht="15" customHeight="1" thickBot="1">
      <c r="B38" s="72" t="inlineStr">
        <is>
          <t>Réduction impôt sur quotités exemptées</t>
        </is>
      </c>
      <c r="C38" s="70" t="n"/>
      <c r="D38" s="70" t="n"/>
      <c r="G38" s="2" t="n"/>
      <c r="H38" s="2" t="n"/>
    </row>
    <row r="39" ht="15" customHeight="1" thickBot="1">
      <c r="B39" s="319">
        <f>B28</f>
        <v/>
      </c>
      <c r="C39" s="123" t="n">
        <v>0.25</v>
      </c>
      <c r="D39" s="320">
        <f>IF(D37&lt;B39,-D37*C39,-3955)</f>
        <v/>
      </c>
      <c r="G39" s="74" t="n"/>
      <c r="H39" s="2" t="n"/>
    </row>
    <row r="40" ht="15" customHeight="1" thickBot="1">
      <c r="B40" s="319">
        <f>B29</f>
        <v/>
      </c>
      <c r="C40" s="123" t="n">
        <v>0.4</v>
      </c>
      <c r="D40" s="321">
        <f>IF(D39=-3955,IF((AND(D37&gt;=B39,D37&lt;B40)),-(D37-B39)*C40,-4840),0)</f>
        <v/>
      </c>
      <c r="E40" s="46">
        <f>IF(D40=-3955,IF((AND(D37&gt;=B39,D37&lt;B41)),-(D37-B40)*C41,-4840),0)</f>
        <v/>
      </c>
      <c r="G40" s="74" t="n"/>
      <c r="H40" s="2" t="n"/>
    </row>
    <row r="41" ht="15" customHeight="1" thickBot="1">
      <c r="B41" s="319">
        <f>B30</f>
        <v/>
      </c>
      <c r="C41" s="123" t="n">
        <v>0.45</v>
      </c>
      <c r="D41" s="321">
        <f>IF(D40=-4840,IF((AND(D37&gt;=B40,D37&lt;B41)),-(D37-B40)*C41,-5652),0)</f>
        <v/>
      </c>
      <c r="G41" s="74" t="n"/>
      <c r="H41" s="2" t="n"/>
    </row>
    <row r="42" ht="15" customHeight="1" thickBot="1">
      <c r="B42" s="322">
        <f>B31</f>
        <v/>
      </c>
      <c r="C42" s="123" t="n">
        <v>0.5</v>
      </c>
      <c r="D42" s="321">
        <f>IF(D41=-5652,IF((AND(D37&gt;=B41,D37&gt;=B41)),-(D37-B41)*C42,""),0)</f>
        <v/>
      </c>
      <c r="F42" s="59" t="n"/>
      <c r="G42" s="74" t="n"/>
      <c r="H42" s="2" t="n"/>
    </row>
    <row r="43" ht="15" customHeight="1" thickBot="1">
      <c r="B43" s="70" t="n"/>
      <c r="C43" s="70" t="n"/>
      <c r="D43" s="323">
        <f>SUM(D39:D42)</f>
        <v/>
      </c>
      <c r="G43" s="74" t="n"/>
      <c r="H43" s="2" t="n"/>
    </row>
    <row r="44" ht="15" customHeight="1" thickBot="1">
      <c r="B44" s="62" t="n"/>
      <c r="C44" s="61" t="n"/>
      <c r="D44" s="313" t="n"/>
      <c r="H44" s="2" t="n"/>
    </row>
    <row r="45" ht="16" customHeight="1" thickBot="1">
      <c r="B45" s="75" t="inlineStr">
        <is>
          <t xml:space="preserve">Total impôt </t>
        </is>
      </c>
      <c r="C45" s="61" t="n"/>
      <c r="D45" s="324">
        <f>D32+D43</f>
        <v/>
      </c>
    </row>
    <row r="46">
      <c r="D46" s="76">
        <f>IF(D25=0,0,D45/D25)</f>
        <v/>
      </c>
    </row>
    <row r="47" ht="15" customHeight="1" thickBot="1">
      <c r="D47" s="76" t="n"/>
    </row>
    <row r="48" ht="15" customHeight="1" thickBot="1">
      <c r="B48" s="77" t="inlineStr">
        <is>
          <t>net annuel</t>
        </is>
      </c>
      <c r="C48" s="78" t="n"/>
      <c r="D48" s="325">
        <f>D25-D45</f>
        <v/>
      </c>
      <c r="F48" s="326">
        <f>D20/D48</f>
        <v/>
      </c>
    </row>
    <row r="49" ht="15" customHeight="1" thickBot="1">
      <c r="B49" s="77" t="inlineStr">
        <is>
          <t>net mensuel</t>
        </is>
      </c>
      <c r="C49" s="78" t="n"/>
      <c r="D49" s="325">
        <f>D48/12</f>
        <v/>
      </c>
    </row>
    <row r="50">
      <c r="D50" s="313" t="n"/>
    </row>
    <row r="52">
      <c r="B52" s="80" t="inlineStr">
        <is>
          <t>Calcul ne tenant pas compte de certaines réductions d'impôts : investissement, etc,</t>
        </is>
      </c>
    </row>
    <row r="53" ht="16" customHeight="1">
      <c r="B53" s="124" t="inlineStr">
        <is>
          <t>Montant exonérés</t>
        </is>
      </c>
      <c r="C53" s="125" t="n"/>
      <c r="D53" s="126" t="n"/>
    </row>
    <row r="54" ht="16" customHeight="1">
      <c r="B54" s="124" t="inlineStr">
        <is>
          <t>de base</t>
        </is>
      </c>
      <c r="C54" s="327" t="n">
        <v>10570</v>
      </c>
      <c r="D54" s="126" t="n"/>
    </row>
    <row r="55" ht="17" customHeight="1">
      <c r="B55" s="127" t="inlineStr">
        <is>
          <t>conjoint</t>
        </is>
      </c>
      <c r="C55" s="327" t="n">
        <v>10570</v>
      </c>
      <c r="D55" s="126" t="n"/>
    </row>
    <row r="56" ht="17" customHeight="1">
      <c r="B56" s="127" t="inlineStr">
        <is>
          <t>1 enfant</t>
        </is>
      </c>
      <c r="C56" s="327" t="n">
        <v>1920</v>
      </c>
      <c r="D56" s="126" t="n"/>
    </row>
    <row r="57" ht="17" customHeight="1">
      <c r="B57" s="127" t="inlineStr">
        <is>
          <t>2 enfants</t>
        </is>
      </c>
      <c r="C57" s="327" t="n">
        <v>4950</v>
      </c>
      <c r="D57" s="126" t="n"/>
    </row>
    <row r="58" ht="17" customHeight="1">
      <c r="B58" s="127" t="inlineStr">
        <is>
          <t>3 enfants</t>
        </is>
      </c>
      <c r="C58" s="327" t="n">
        <v>11090</v>
      </c>
      <c r="D58" s="126" t="n"/>
    </row>
    <row r="59" ht="17" customHeight="1">
      <c r="B59" s="127" t="inlineStr">
        <is>
          <t>4 enfants</t>
        </is>
      </c>
      <c r="C59" s="327" t="n">
        <v>17250</v>
      </c>
      <c r="D59" s="126" t="n"/>
    </row>
    <row r="60" ht="17" customHeight="1">
      <c r="B60" s="127" t="inlineStr">
        <is>
          <t>supplément pour plus de 4 enfants à charge</t>
        </is>
      </c>
      <c r="C60" s="327" t="n">
        <v>6850</v>
      </c>
      <c r="D60" s="126" t="inlineStr">
        <is>
          <t>par enfant</t>
        </is>
      </c>
    </row>
    <row r="61">
      <c r="C61" s="297" t="n"/>
    </row>
    <row r="63">
      <c r="B63" s="223" t="inlineStr">
        <is>
          <t>Calcul de l'impôt au plus juste en fonction de la situation personnelle</t>
        </is>
      </c>
      <c r="C63" s="223" t="n"/>
      <c r="D63" s="224" t="n"/>
    </row>
    <row r="64" ht="16" customHeight="1">
      <c r="B64" s="225" t="inlineStr">
        <is>
          <t>https://finances.belgium.be/fr/E-services/Tax-calc</t>
        </is>
      </c>
      <c r="C64" s="223" t="n"/>
      <c r="D64" s="224" t="n"/>
    </row>
  </sheetData>
  <hyperlinks>
    <hyperlink xmlns:r="http://schemas.openxmlformats.org/officeDocument/2006/relationships" ref="B64" r:id="rId1"/>
  </hyperlinks>
  <pageMargins left="0.75" right="0.75" top="1" bottom="1" header="0.5" footer="0.5"/>
  <pageSetup orientation="portrait" paperSize="9" horizontalDpi="4294967292" verticalDpi="4294967292"/>
</worksheet>
</file>

<file path=xl/worksheets/sheet7.xml><?xml version="1.0" encoding="utf-8"?>
<worksheet xmlns="http://schemas.openxmlformats.org/spreadsheetml/2006/main">
  <sheetPr>
    <tabColor theme="9" tint="0.7999816888943144"/>
    <outlinePr summaryBelow="1" summaryRight="1"/>
    <pageSetUpPr/>
  </sheetPr>
  <dimension ref="B2:J19"/>
  <sheetViews>
    <sheetView showGridLines="0" zoomScaleNormal="100" zoomScalePageLayoutView="125" workbookViewId="0">
      <selection activeCell="C18" sqref="C18"/>
    </sheetView>
  </sheetViews>
  <sheetFormatPr baseColWidth="10" defaultColWidth="10.6640625" defaultRowHeight="14"/>
  <cols>
    <col width="6" customWidth="1" style="83" min="1" max="1"/>
    <col width="40.1640625" customWidth="1" style="83" min="2" max="2"/>
    <col width="15.6640625" bestFit="1" customWidth="1" style="83" min="3" max="3"/>
    <col width="8.1640625" customWidth="1" style="83" min="4" max="4"/>
    <col width="41.6640625" customWidth="1" style="84" min="5" max="5"/>
    <col width="10.6640625" customWidth="1" style="83" min="6" max="6"/>
    <col width="14.5" bestFit="1" customWidth="1" style="83" min="7" max="7"/>
    <col width="10.6640625" customWidth="1" style="83" min="8" max="16384"/>
  </cols>
  <sheetData>
    <row r="1" ht="15" customHeight="1" thickBot="1"/>
    <row r="2" ht="31.25" customHeight="1" thickBot="1">
      <c r="B2" s="328" t="inlineStr">
        <is>
          <t>Besoin d'argent comme fond de roulement</t>
        </is>
      </c>
      <c r="C2" s="329" t="n"/>
      <c r="D2" s="329" t="n"/>
      <c r="E2" s="330" t="n"/>
    </row>
    <row r="3" ht="37.25" customFormat="1" customHeight="1" s="85">
      <c r="B3" s="262" t="inlineStr">
        <is>
          <t>Cette feuille calcule combien vous avez besoin d'argent pour démarrer l'activité, pour avancer l'argent avant que les clients ne payent.</t>
        </is>
      </c>
      <c r="C3" s="331" t="n"/>
      <c r="D3" s="331" t="n"/>
      <c r="E3" s="331" t="n"/>
    </row>
    <row r="4">
      <c r="B4" s="84" t="n"/>
      <c r="C4" s="332" t="n"/>
    </row>
    <row r="5" ht="15" customHeight="1">
      <c r="B5" s="84" t="inlineStr">
        <is>
          <t>Investissements</t>
        </is>
      </c>
      <c r="C5" s="333">
        <f>Investissement!E21</f>
        <v/>
      </c>
    </row>
    <row r="6" ht="30" customHeight="1">
      <c r="B6" s="181" t="inlineStr">
        <is>
          <t>Fond de roulement pour frais généraux (hors intérêt)</t>
        </is>
      </c>
      <c r="C6" s="333">
        <f>(SUM('Frais Généraux'!E5:E9)+SUM('Frais Généraux'!E11:E29))*D6</f>
        <v/>
      </c>
      <c r="D6" s="87" t="n">
        <v>3</v>
      </c>
      <c r="E6" s="84" t="inlineStr">
        <is>
          <t>nbr de mois à pouvoir avancer des frais de fonctionnement</t>
        </is>
      </c>
    </row>
    <row r="7" ht="15" customHeight="1">
      <c r="B7" s="84" t="inlineStr">
        <is>
          <t>1er stock</t>
        </is>
      </c>
      <c r="C7" s="333">
        <f>'CA et Marge Brute'!K5*D7</f>
        <v/>
      </c>
      <c r="D7" s="87" t="n">
        <v>1</v>
      </c>
      <c r="E7" s="84" t="inlineStr">
        <is>
          <t>frais d'approvisionnement du premier mois</t>
        </is>
      </c>
    </row>
    <row r="8" ht="15" customHeight="1">
      <c r="B8" s="84" t="inlineStr">
        <is>
          <t>(garantie locative)</t>
        </is>
      </c>
      <c r="C8" s="333">
        <f>'Frais Généraux'!E11*D8</f>
        <v/>
      </c>
      <c r="D8" s="87" t="n">
        <v>0</v>
      </c>
      <c r="E8" s="84" t="inlineStr">
        <is>
          <t>nbr de loyer en garantie</t>
        </is>
      </c>
    </row>
    <row r="9" ht="15" customHeight="1">
      <c r="B9" s="84" t="inlineStr">
        <is>
          <t>(frais d'enregistrement &gt; Ouverture n° TVA)</t>
        </is>
      </c>
      <c r="C9" s="334" t="n">
        <v>105</v>
      </c>
    </row>
    <row r="10" ht="16" customHeight="1" thickBot="1">
      <c r="B10" s="84" t="inlineStr">
        <is>
          <t>(inauguration)</t>
        </is>
      </c>
      <c r="C10" s="334" t="n">
        <v>0</v>
      </c>
    </row>
    <row r="11">
      <c r="B11" s="136" t="inlineStr">
        <is>
          <t>Besoin d'argent</t>
        </is>
      </c>
      <c r="C11" s="335">
        <f>SUM(C5:C10)</f>
        <v/>
      </c>
      <c r="D11" s="138" t="n"/>
      <c r="E11" s="139" t="n"/>
    </row>
    <row r="12" ht="15" customHeight="1" thickBot="1">
      <c r="B12" s="140" t="inlineStr">
        <is>
          <t>Apport personnel</t>
        </is>
      </c>
      <c r="C12" s="336">
        <f>C11*D12</f>
        <v/>
      </c>
      <c r="D12" s="89" t="n">
        <v>1</v>
      </c>
      <c r="E12" s="141" t="n"/>
    </row>
    <row r="13">
      <c r="B13" s="88" t="inlineStr">
        <is>
          <t>Capital à emprunter</t>
        </is>
      </c>
      <c r="C13" s="337">
        <f>C11-C12</f>
        <v/>
      </c>
    </row>
    <row r="14">
      <c r="C14" s="333" t="n"/>
    </row>
    <row r="15" ht="15" customHeight="1">
      <c r="B15" s="88" t="inlineStr">
        <is>
          <t>Remboursement annuel</t>
        </is>
      </c>
      <c r="C15" s="337">
        <f>C13/D15</f>
        <v/>
      </c>
      <c r="D15" s="90" t="n">
        <v>1</v>
      </c>
      <c r="E15" s="91" t="inlineStr">
        <is>
          <t>durée du prêt (années)</t>
        </is>
      </c>
    </row>
    <row r="16">
      <c r="B16" s="83" t="inlineStr">
        <is>
          <t>Remboursement mensuel</t>
        </is>
      </c>
      <c r="C16" s="333">
        <f>C15/D16</f>
        <v/>
      </c>
      <c r="D16" s="83" t="n">
        <v>12</v>
      </c>
      <c r="G16" s="332" t="n"/>
      <c r="J16" s="92" t="n"/>
    </row>
    <row r="17">
      <c r="B17" s="88" t="inlineStr">
        <is>
          <t>Intéret annuel</t>
        </is>
      </c>
      <c r="C17" s="337">
        <f>C13*D17</f>
        <v/>
      </c>
      <c r="D17" s="93" t="n">
        <v>0.06</v>
      </c>
    </row>
    <row r="18">
      <c r="B18" s="83" t="inlineStr">
        <is>
          <t>Intérets mensuels</t>
        </is>
      </c>
      <c r="C18" s="333">
        <f>C17/D16</f>
        <v/>
      </c>
      <c r="H18" s="332" t="n"/>
      <c r="I18" s="332" t="n"/>
    </row>
    <row r="19">
      <c r="H19" s="332" t="n"/>
      <c r="I19" s="332" t="n"/>
    </row>
  </sheetData>
  <mergeCells count="2">
    <mergeCell ref="B3:E3"/>
    <mergeCell ref="B2:E2"/>
  </mergeCells>
  <pageMargins left="0.75" right="0.75" top="1" bottom="1" header="0.5" footer="0.5"/>
  <pageSetup orientation="portrait" paperSize="9" horizontalDpi="4294967292" verticalDpi="4294967292"/>
</worksheet>
</file>

<file path=xl/worksheets/sheet8.xml><?xml version="1.0" encoding="utf-8"?>
<worksheet xmlns="http://schemas.openxmlformats.org/spreadsheetml/2006/main">
  <sheetPr>
    <tabColor theme="4" tint="0.7999816888943144"/>
    <outlinePr summaryBelow="1" summaryRight="1"/>
    <pageSetUpPr/>
  </sheetPr>
  <dimension ref="A2:D51"/>
  <sheetViews>
    <sheetView showGridLines="0" tabSelected="1" zoomScaleNormal="100" zoomScalePageLayoutView="125" workbookViewId="0">
      <selection activeCell="H7" sqref="H7"/>
    </sheetView>
  </sheetViews>
  <sheetFormatPr baseColWidth="10" defaultColWidth="10.6640625" defaultRowHeight="14"/>
  <cols>
    <col width="9.6640625" customWidth="1" style="2" min="1" max="1"/>
    <col width="39.6640625" customWidth="1" style="2" min="2" max="2"/>
    <col width="10.6640625" customWidth="1" style="2" min="3" max="16384"/>
  </cols>
  <sheetData>
    <row r="2" ht="18" customHeight="1">
      <c r="B2" s="104" t="inlineStr">
        <is>
          <t>Seuil de rentabilité mensuel du premier produit introduit dans l'onglet CA et frais d'appro</t>
        </is>
      </c>
    </row>
    <row r="3">
      <c r="B3" s="3" t="n"/>
    </row>
    <row r="4" ht="15" customHeight="1">
      <c r="B4" s="24" t="inlineStr">
        <is>
          <t>Frais de fonctionnement / frais généraux</t>
        </is>
      </c>
      <c r="C4" s="338">
        <f>'Frais Généraux'!E30</f>
        <v/>
      </c>
    </row>
    <row r="5">
      <c r="B5" s="23" t="inlineStr">
        <is>
          <t>Marge brute par unité vendue</t>
        </is>
      </c>
      <c r="C5" s="338">
        <f>'CA et Marge Brute'!F6</f>
        <v/>
      </c>
      <c r="D5" s="2" t="inlineStr">
        <is>
          <t>(ici calculée sur un seul produit - produit 1 )</t>
        </is>
      </c>
    </row>
    <row r="6">
      <c r="B6" s="34" t="inlineStr">
        <is>
          <t>Nombre de client/mois</t>
        </is>
      </c>
      <c r="C6" s="101">
        <f>C4/C5</f>
        <v/>
      </c>
    </row>
    <row r="7">
      <c r="B7" s="102" t="inlineStr">
        <is>
          <t>Nombre de client/semaine</t>
        </is>
      </c>
      <c r="C7" s="103">
        <f>C6/4</f>
        <v/>
      </c>
    </row>
    <row r="8">
      <c r="B8" s="102" t="inlineStr">
        <is>
          <t>Nombre de client/jour</t>
        </is>
      </c>
      <c r="C8" s="103">
        <f>C7/5</f>
        <v/>
      </c>
    </row>
    <row r="9">
      <c r="B9" s="3" t="n"/>
      <c r="C9" s="95" t="n"/>
    </row>
    <row r="10" customFormat="1" s="4">
      <c r="B10" s="105" t="inlineStr">
        <is>
          <t>Attention avec cela vous ne couvrez pas encore vos cotisations sociales,vos impôts et vos amortissements !!</t>
        </is>
      </c>
      <c r="C10" s="94" t="n"/>
    </row>
    <row r="11">
      <c r="C11" s="96" t="n"/>
    </row>
    <row r="12" ht="30" customFormat="1" customHeight="1" s="29">
      <c r="A12" s="29" t="inlineStr">
        <is>
          <t>nbr de client</t>
        </is>
      </c>
      <c r="B12" s="29" t="inlineStr">
        <is>
          <t>Marge brute totale selon nbr de clients</t>
        </is>
      </c>
      <c r="C12" s="29" t="inlineStr">
        <is>
          <t>FG mensuel</t>
        </is>
      </c>
    </row>
    <row r="13">
      <c r="A13" s="5" t="n">
        <v>1</v>
      </c>
      <c r="B13" s="339">
        <f>MB_UV*A13</f>
        <v/>
      </c>
      <c r="C13" s="340">
        <f>C4</f>
        <v/>
      </c>
    </row>
    <row r="14">
      <c r="A14" s="5" t="n">
        <v>2</v>
      </c>
      <c r="B14" s="339">
        <f>MB_UV*A14</f>
        <v/>
      </c>
      <c r="C14" s="340">
        <f>C13</f>
        <v/>
      </c>
    </row>
    <row r="15">
      <c r="A15" s="5" t="n">
        <v>3</v>
      </c>
      <c r="B15" s="339">
        <f>MB_UV*A15</f>
        <v/>
      </c>
      <c r="C15" s="340">
        <f>C14</f>
        <v/>
      </c>
    </row>
    <row r="16">
      <c r="A16" s="5" t="n">
        <v>4</v>
      </c>
      <c r="B16" s="339">
        <f>MB_UV*A16</f>
        <v/>
      </c>
      <c r="C16" s="340">
        <f>C15</f>
        <v/>
      </c>
    </row>
    <row r="17">
      <c r="A17" s="5" t="n">
        <v>5</v>
      </c>
      <c r="B17" s="339">
        <f>MB_UV*A17</f>
        <v/>
      </c>
      <c r="C17" s="340">
        <f>C16</f>
        <v/>
      </c>
    </row>
    <row r="18">
      <c r="A18" s="5" t="n">
        <v>6</v>
      </c>
      <c r="B18" s="339">
        <f>MB_UV*A18</f>
        <v/>
      </c>
      <c r="C18" s="340">
        <f>C17</f>
        <v/>
      </c>
    </row>
    <row r="19">
      <c r="A19" s="5" t="n">
        <v>7</v>
      </c>
      <c r="B19" s="339">
        <f>MB_UV*A19</f>
        <v/>
      </c>
      <c r="C19" s="340">
        <f>C18</f>
        <v/>
      </c>
    </row>
    <row r="20">
      <c r="A20" s="5" t="n">
        <v>8</v>
      </c>
      <c r="B20" s="339">
        <f>MB_UV*A20</f>
        <v/>
      </c>
      <c r="C20" s="340">
        <f>C19</f>
        <v/>
      </c>
    </row>
    <row r="21">
      <c r="A21" s="5" t="n">
        <v>9</v>
      </c>
      <c r="B21" s="339">
        <f>MB_UV*A21</f>
        <v/>
      </c>
      <c r="C21" s="340">
        <f>C20</f>
        <v/>
      </c>
    </row>
    <row r="22">
      <c r="A22" s="5" t="n">
        <v>10</v>
      </c>
      <c r="B22" s="339">
        <f>MB_UV*A22</f>
        <v/>
      </c>
      <c r="C22" s="340">
        <f>C21</f>
        <v/>
      </c>
    </row>
    <row r="23">
      <c r="A23" s="5" t="n">
        <v>11</v>
      </c>
      <c r="B23" s="339">
        <f>MB_UV*A23</f>
        <v/>
      </c>
      <c r="C23" s="340">
        <f>C22</f>
        <v/>
      </c>
    </row>
    <row r="24">
      <c r="A24" s="5" t="n">
        <v>12</v>
      </c>
      <c r="B24" s="339">
        <f>MB_UV*A24</f>
        <v/>
      </c>
      <c r="C24" s="340">
        <f>C23</f>
        <v/>
      </c>
    </row>
    <row r="25">
      <c r="A25" s="5" t="n">
        <v>13</v>
      </c>
      <c r="B25" s="339">
        <f>MB_UV*A25</f>
        <v/>
      </c>
      <c r="C25" s="340">
        <f>C24</f>
        <v/>
      </c>
    </row>
    <row r="26">
      <c r="A26" s="5" t="n">
        <v>14</v>
      </c>
      <c r="B26" s="339">
        <f>MB_UV*A26</f>
        <v/>
      </c>
      <c r="C26" s="340">
        <f>C25</f>
        <v/>
      </c>
    </row>
    <row r="27">
      <c r="A27" s="5" t="n">
        <v>15</v>
      </c>
      <c r="B27" s="339">
        <f>MB_UV*A27</f>
        <v/>
      </c>
      <c r="C27" s="340">
        <f>C26</f>
        <v/>
      </c>
    </row>
    <row r="28">
      <c r="A28" s="5" t="n">
        <v>16</v>
      </c>
      <c r="B28" s="339">
        <f>MB_UV*A28</f>
        <v/>
      </c>
      <c r="C28" s="340">
        <f>C27</f>
        <v/>
      </c>
    </row>
    <row r="29">
      <c r="A29" s="5" t="n">
        <v>17</v>
      </c>
      <c r="B29" s="339">
        <f>MB_UV*A29</f>
        <v/>
      </c>
      <c r="C29" s="340">
        <f>C28</f>
        <v/>
      </c>
    </row>
    <row r="30">
      <c r="A30" s="5" t="n">
        <v>18</v>
      </c>
      <c r="B30" s="339">
        <f>MB_UV*A30</f>
        <v/>
      </c>
      <c r="C30" s="340">
        <f>C29</f>
        <v/>
      </c>
    </row>
    <row r="31">
      <c r="A31" s="5" t="n">
        <v>19</v>
      </c>
      <c r="B31" s="339">
        <f>MB_UV*A31</f>
        <v/>
      </c>
      <c r="C31" s="340">
        <f>C30</f>
        <v/>
      </c>
    </row>
    <row r="32">
      <c r="A32" s="5" t="n">
        <v>20</v>
      </c>
      <c r="B32" s="339">
        <f>MB_UV*A32</f>
        <v/>
      </c>
      <c r="C32" s="340">
        <f>C31</f>
        <v/>
      </c>
    </row>
    <row r="33">
      <c r="A33" s="5" t="n">
        <v>21</v>
      </c>
      <c r="B33" s="339">
        <f>MB_UV*A33</f>
        <v/>
      </c>
      <c r="C33" s="340">
        <f>C32</f>
        <v/>
      </c>
    </row>
    <row r="34">
      <c r="A34" s="5" t="n">
        <v>22</v>
      </c>
      <c r="B34" s="339">
        <f>MB_UV*A34</f>
        <v/>
      </c>
      <c r="C34" s="340">
        <f>C33</f>
        <v/>
      </c>
    </row>
    <row r="35">
      <c r="A35" s="5" t="n">
        <v>23</v>
      </c>
      <c r="B35" s="339">
        <f>MB_UV*A35</f>
        <v/>
      </c>
      <c r="C35" s="340">
        <f>C34</f>
        <v/>
      </c>
    </row>
    <row r="36">
      <c r="A36" s="5" t="n">
        <v>24</v>
      </c>
      <c r="B36" s="339">
        <f>MB_UV*A36</f>
        <v/>
      </c>
      <c r="C36" s="340">
        <f>C35</f>
        <v/>
      </c>
    </row>
    <row r="37">
      <c r="A37" s="5" t="n">
        <v>25</v>
      </c>
      <c r="B37" s="339">
        <f>MB_UV*A37</f>
        <v/>
      </c>
      <c r="C37" s="340">
        <f>C36</f>
        <v/>
      </c>
    </row>
    <row r="38">
      <c r="A38" s="5" t="n">
        <v>26</v>
      </c>
      <c r="B38" s="339">
        <f>MB_UV*A38</f>
        <v/>
      </c>
      <c r="C38" s="340">
        <f>C37</f>
        <v/>
      </c>
    </row>
    <row r="39">
      <c r="A39" s="5" t="n">
        <v>27</v>
      </c>
      <c r="B39" s="339">
        <f>MB_UV*A39</f>
        <v/>
      </c>
      <c r="C39" s="340">
        <f>C38</f>
        <v/>
      </c>
    </row>
    <row r="40">
      <c r="A40" s="5" t="n">
        <v>28</v>
      </c>
      <c r="B40" s="339">
        <f>MB_UV*A40</f>
        <v/>
      </c>
      <c r="C40" s="340">
        <f>C39</f>
        <v/>
      </c>
    </row>
    <row r="41">
      <c r="A41" s="5" t="n">
        <v>29</v>
      </c>
      <c r="B41" s="339">
        <f>MB_UV*A41</f>
        <v/>
      </c>
      <c r="C41" s="340">
        <f>C40</f>
        <v/>
      </c>
    </row>
    <row r="42">
      <c r="A42" s="5" t="n">
        <v>30</v>
      </c>
      <c r="B42" s="339">
        <f>MB_UV*A42</f>
        <v/>
      </c>
      <c r="C42" s="340">
        <f>C41</f>
        <v/>
      </c>
    </row>
    <row r="43">
      <c r="A43" s="5" t="n">
        <v>31</v>
      </c>
      <c r="B43" s="339">
        <f>MB_UV*A43</f>
        <v/>
      </c>
      <c r="C43" s="340">
        <f>C42</f>
        <v/>
      </c>
    </row>
    <row r="44">
      <c r="A44" s="5" t="n">
        <v>32</v>
      </c>
      <c r="B44" s="339">
        <f>MB_UV*A44</f>
        <v/>
      </c>
      <c r="C44" s="340">
        <f>C43</f>
        <v/>
      </c>
    </row>
    <row r="45">
      <c r="A45" s="5" t="n">
        <v>33</v>
      </c>
      <c r="B45" s="339">
        <f>MB_UV*A45</f>
        <v/>
      </c>
      <c r="C45" s="340">
        <f>C44</f>
        <v/>
      </c>
    </row>
    <row r="46">
      <c r="A46" s="5" t="n">
        <v>34</v>
      </c>
      <c r="B46" s="339">
        <f>MB_UV*A46</f>
        <v/>
      </c>
      <c r="C46" s="340">
        <f>C45</f>
        <v/>
      </c>
    </row>
    <row r="47">
      <c r="A47" s="5" t="n">
        <v>35</v>
      </c>
      <c r="B47" s="339">
        <f>MB_UV*A47</f>
        <v/>
      </c>
      <c r="C47" s="340">
        <f>C46</f>
        <v/>
      </c>
    </row>
    <row r="48">
      <c r="A48" s="5" t="n">
        <v>36</v>
      </c>
      <c r="B48" s="339">
        <f>MB_UV*A48</f>
        <v/>
      </c>
      <c r="C48" s="340">
        <f>C47</f>
        <v/>
      </c>
    </row>
    <row r="49">
      <c r="A49" s="5" t="n">
        <v>37</v>
      </c>
      <c r="B49" s="339">
        <f>MB_UV*A49</f>
        <v/>
      </c>
      <c r="C49" s="340">
        <f>C48</f>
        <v/>
      </c>
    </row>
    <row r="50">
      <c r="A50" s="5" t="n">
        <v>38</v>
      </c>
      <c r="B50" s="339">
        <f>MB_UV*A50</f>
        <v/>
      </c>
      <c r="C50" s="340">
        <f>C49</f>
        <v/>
      </c>
    </row>
    <row r="51">
      <c r="B51" s="5" t="n"/>
    </row>
  </sheetData>
  <pageMargins left="0.75" right="0.75" top="1" bottom="1" header="0.5" footer="0.5"/>
  <pageSetup orientation="portrait" paperSize="9" horizontalDpi="4294967292" verticalDpi="4294967292"/>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Fatima Ftaich</dc:creator>
  <dcterms:created xmlns:dcterms="http://purl.org/dc/terms/" xmlns:xsi="http://www.w3.org/2001/XMLSchema-instance" xsi:type="dcterms:W3CDTF">2014-06-05T07:36:25Z</dcterms:created>
  <dcterms:modified xmlns:dcterms="http://purl.org/dc/terms/" xmlns:xsi="http://www.w3.org/2001/XMLSchema-instance" xsi:type="dcterms:W3CDTF">2026-07-16T17:15:15Z</dcterms:modified>
  <cp:lastModifiedBy>Adel H.Bakkali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0x01010050A19B864FBFEB4A9648212F5865B6A5</vt:lpwstr>
  </property>
  <property name="MediaServiceImageTags" fmtid="{D5CDD505-2E9C-101B-9397-08002B2CF9AE}" pid="3">
    <vt:lpwstr xmlns:vt="http://schemas.openxmlformats.org/officeDocument/2006/docPropsVTypes"/>
  </property>
</Properties>
</file>