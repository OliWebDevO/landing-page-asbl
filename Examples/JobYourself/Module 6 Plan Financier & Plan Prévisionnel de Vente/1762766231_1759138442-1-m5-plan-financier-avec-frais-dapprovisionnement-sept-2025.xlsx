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showInkAnnotation="0" autoCompressPictures="0"/>
  <mc:AlternateContent xmlns:mc="http://schemas.openxmlformats.org/markup-compatibility/2006">
    <mc:Choice Requires="x15">
      <x15ac:absPath xmlns:x15ac="http://schemas.microsoft.com/office/spreadsheetml/2010/11/ac" url="/Users/adelh.bakkali/Downloads/"/>
    </mc:Choice>
  </mc:AlternateContent>
  <xr:revisionPtr revIDLastSave="0" documentId="13_ncr:1_{8BB8FDD8-5F32-6044-AF9B-1C4AE2F0B2D2}" xr6:coauthVersionLast="47" xr6:coauthVersionMax="47" xr10:uidLastSave="{00000000-0000-0000-0000-000000000000}"/>
  <bookViews>
    <workbookView xWindow="0" yWindow="780" windowWidth="34200" windowHeight="21360" tabRatio="822" activeTab="8" xr2:uid="{00000000-000D-0000-FFFF-FFFF00000000}"/>
  </bookViews>
  <sheets>
    <sheet name="Intro" sheetId="1" r:id="rId1"/>
    <sheet name="Investissement" sheetId="2" r:id="rId2"/>
    <sheet name="Frais Généraux" sheetId="3" r:id="rId3"/>
    <sheet name="Frais d'approvisionnement" sheetId="4" r:id="rId4"/>
    <sheet name="CA et Marge Brute" sheetId="5" r:id="rId5"/>
    <sheet name="Durée Prod" sheetId="10" r:id="rId6"/>
    <sheet name="Calcul rém indépendant" sheetId="7" r:id="rId7"/>
    <sheet name="fond de roulement" sheetId="8" r:id="rId8"/>
    <sheet name="Seuil de rentabilité" sheetId="9" r:id="rId9"/>
  </sheets>
  <definedNames>
    <definedName name="FG">'Seuil de rentabilité'!$C$4</definedName>
    <definedName name="MB_UV">'Seuil de rentabilité'!$C$5</definedName>
    <definedName name="Prod1">'Frais d''approvisionnement'!$B$4</definedName>
    <definedName name="Prod10">'Frais d''approvisionnement'!$T$4</definedName>
    <definedName name="Prod2">'Frais d''approvisionnement'!$D$4</definedName>
    <definedName name="Prod3">'Frais d''approvisionnement'!$F$4</definedName>
    <definedName name="Prod4">'Frais d''approvisionnement'!$H$4</definedName>
    <definedName name="Prod5">'Frais d''approvisionnement'!$J$4</definedName>
    <definedName name="Prod6">'Frais d''approvisionnement'!$L$4</definedName>
    <definedName name="Prod7">'Frais d''approvisionnement'!$N$4</definedName>
    <definedName name="Prod8">'Frais d''approvisionnement'!$P$4</definedName>
    <definedName name="Prod9">'Frais d''approvisionnement'!$R$4</definedName>
    <definedName name="Z_9603C630_F6C2_4E40_A837_290F953D6A2E_.wvu.Rows" localSheetId="6" hidden="1">'Calcul rém indépendant'!$13:$13,'Calcul rém indépendant'!$15:$16</definedName>
  </definedNames>
  <calcPr calcId="191029"/>
  <customWorkbookViews>
    <customWorkbookView name="Antoine Cervinka - Affichage personnalisé" guid="{9603C630-F6C2-4E40-A837-290F953D6A2E}" mergeInterval="0" personalView="1" maximized="1" xWindow="-9" yWindow="-9" windowWidth="1938" windowHeight="1048" tabRatio="822" activeSheetId="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21" i="2" l="1"/>
  <c r="D40" i="7"/>
  <c r="E40" i="7" s="1"/>
  <c r="E22" i="7"/>
  <c r="C6" i="8"/>
  <c r="M5" i="5"/>
  <c r="O5" i="5"/>
  <c r="K5" i="5"/>
  <c r="L5" i="5"/>
  <c r="N5" i="5"/>
  <c r="J5" i="5"/>
  <c r="E20" i="2"/>
  <c r="H20" i="2" s="1"/>
  <c r="I20" i="2" s="1"/>
  <c r="G20" i="2"/>
  <c r="G19" i="2"/>
  <c r="E19" i="2"/>
  <c r="H19" i="2" s="1"/>
  <c r="I19" i="2" s="1"/>
  <c r="G18" i="2"/>
  <c r="E18" i="2"/>
  <c r="H18" i="2" s="1"/>
  <c r="I18" i="2" s="1"/>
  <c r="G17" i="2"/>
  <c r="E17" i="2"/>
  <c r="H17" i="2" s="1"/>
  <c r="I17" i="2" s="1"/>
  <c r="G16" i="2"/>
  <c r="H16" i="2"/>
  <c r="I16" i="2" s="1"/>
  <c r="I21" i="2" s="1"/>
  <c r="A6" i="5"/>
  <c r="H8" i="2"/>
  <c r="H9" i="2"/>
  <c r="H10" i="2"/>
  <c r="H11" i="2"/>
  <c r="H12" i="2"/>
  <c r="H13" i="2"/>
  <c r="H14" i="2"/>
  <c r="H15" i="2"/>
  <c r="C6" i="4"/>
  <c r="E6" i="5" s="1"/>
  <c r="E8" i="3"/>
  <c r="E3" i="10"/>
  <c r="F3" i="10" s="1"/>
  <c r="E4" i="10"/>
  <c r="F4" i="10"/>
  <c r="G4" i="10"/>
  <c r="E5" i="10"/>
  <c r="F5" i="10"/>
  <c r="G5" i="10"/>
  <c r="E6" i="10"/>
  <c r="F6" i="10"/>
  <c r="G6" i="10"/>
  <c r="E7" i="10"/>
  <c r="F7" i="10"/>
  <c r="G7" i="10"/>
  <c r="E8" i="10"/>
  <c r="F8" i="10"/>
  <c r="G8" i="10"/>
  <c r="E9" i="10"/>
  <c r="F9" i="10"/>
  <c r="G9" i="10"/>
  <c r="E10" i="10"/>
  <c r="F10" i="10"/>
  <c r="G10" i="10"/>
  <c r="E11" i="10"/>
  <c r="F11" i="10"/>
  <c r="G11" i="10"/>
  <c r="E12" i="10"/>
  <c r="F12" i="10"/>
  <c r="G12" i="10"/>
  <c r="E26" i="3"/>
  <c r="E27" i="3"/>
  <c r="E28" i="3"/>
  <c r="D5" i="3"/>
  <c r="D6" i="3"/>
  <c r="D11" i="3"/>
  <c r="D16" i="3"/>
  <c r="D20" i="3"/>
  <c r="D21" i="3"/>
  <c r="B40" i="7"/>
  <c r="B41" i="7"/>
  <c r="B42" i="7"/>
  <c r="B39" i="7"/>
  <c r="E23" i="3"/>
  <c r="E22" i="3"/>
  <c r="E19" i="3"/>
  <c r="E25" i="3"/>
  <c r="E29" i="3"/>
  <c r="E12" i="3"/>
  <c r="E24" i="3"/>
  <c r="D9" i="3"/>
  <c r="D7" i="3"/>
  <c r="E8" i="2"/>
  <c r="E9" i="2"/>
  <c r="E10" i="2"/>
  <c r="E11" i="2"/>
  <c r="E12" i="2"/>
  <c r="E13" i="2"/>
  <c r="G13" i="2"/>
  <c r="I13" i="2"/>
  <c r="E14" i="2"/>
  <c r="E15" i="2"/>
  <c r="E7" i="2"/>
  <c r="H7" i="2" s="1"/>
  <c r="D18" i="3"/>
  <c r="D17" i="3"/>
  <c r="E15" i="3"/>
  <c r="E14" i="3"/>
  <c r="E13" i="3"/>
  <c r="I15" i="5"/>
  <c r="I7" i="5"/>
  <c r="I8" i="5"/>
  <c r="I9" i="5"/>
  <c r="I10" i="5"/>
  <c r="I11" i="5"/>
  <c r="I12" i="5"/>
  <c r="I13" i="5"/>
  <c r="I14" i="5"/>
  <c r="I6" i="5"/>
  <c r="B12" i="10"/>
  <c r="B11" i="10"/>
  <c r="B10" i="10"/>
  <c r="B9" i="10"/>
  <c r="B8" i="10"/>
  <c r="B7" i="10"/>
  <c r="B6" i="10"/>
  <c r="A15" i="5"/>
  <c r="A14" i="5"/>
  <c r="B5" i="10"/>
  <c r="B4" i="10"/>
  <c r="B3" i="10"/>
  <c r="A13" i="5"/>
  <c r="A7" i="5"/>
  <c r="D15" i="5"/>
  <c r="J15" i="5"/>
  <c r="M15" i="5"/>
  <c r="D7" i="5"/>
  <c r="J7" i="5"/>
  <c r="M7" i="5"/>
  <c r="D8" i="5"/>
  <c r="J8" i="5"/>
  <c r="M8" i="5"/>
  <c r="D9" i="5"/>
  <c r="J9" i="5"/>
  <c r="M9" i="5"/>
  <c r="D10" i="5"/>
  <c r="J10" i="5"/>
  <c r="M10" i="5"/>
  <c r="D11" i="5"/>
  <c r="J11" i="5"/>
  <c r="M11" i="5"/>
  <c r="D12" i="5"/>
  <c r="D13" i="5"/>
  <c r="J13" i="5"/>
  <c r="M13" i="5"/>
  <c r="D14" i="5"/>
  <c r="J14" i="5"/>
  <c r="M14" i="5"/>
  <c r="D6" i="5"/>
  <c r="J6" i="5" s="1"/>
  <c r="G11" i="2"/>
  <c r="G10" i="2"/>
  <c r="A12" i="5"/>
  <c r="A11" i="5"/>
  <c r="A10" i="5"/>
  <c r="A9" i="5"/>
  <c r="A8" i="5"/>
  <c r="D37" i="7"/>
  <c r="U6" i="4"/>
  <c r="E15" i="5" s="1"/>
  <c r="S6" i="4"/>
  <c r="E14" i="5" s="1"/>
  <c r="Q6" i="4"/>
  <c r="E13" i="5" s="1"/>
  <c r="O6" i="4"/>
  <c r="E12" i="5" s="1"/>
  <c r="M6" i="4"/>
  <c r="E11" i="5" s="1"/>
  <c r="K6" i="4"/>
  <c r="E10" i="5" s="1"/>
  <c r="I6" i="4"/>
  <c r="E9" i="5" s="1"/>
  <c r="G6" i="4"/>
  <c r="E8" i="5" s="1"/>
  <c r="E6" i="4"/>
  <c r="E7" i="5" s="1"/>
  <c r="C8" i="8"/>
  <c r="G7" i="2"/>
  <c r="G8" i="2"/>
  <c r="G9" i="2"/>
  <c r="G12" i="2"/>
  <c r="G14" i="2"/>
  <c r="G15" i="2"/>
  <c r="I10" i="2"/>
  <c r="J12" i="5"/>
  <c r="M12" i="5"/>
  <c r="I15" i="2"/>
  <c r="D39" i="7"/>
  <c r="I14" i="2"/>
  <c r="H8" i="5"/>
  <c r="H14" i="5"/>
  <c r="H11" i="5"/>
  <c r="I12" i="2"/>
  <c r="I11" i="2"/>
  <c r="I9" i="2"/>
  <c r="H6" i="10"/>
  <c r="H8" i="10"/>
  <c r="H9" i="10"/>
  <c r="H11" i="10"/>
  <c r="H5" i="10"/>
  <c r="H9" i="5"/>
  <c r="H10" i="5"/>
  <c r="H7" i="5"/>
  <c r="H13" i="5"/>
  <c r="H12" i="5"/>
  <c r="H15" i="5"/>
  <c r="H12" i="10"/>
  <c r="H7" i="10"/>
  <c r="H10" i="10"/>
  <c r="H4" i="10"/>
  <c r="H21" i="2" l="1"/>
  <c r="D41" i="7"/>
  <c r="F10" i="5"/>
  <c r="L10" i="5" s="1"/>
  <c r="O10" i="5" s="1"/>
  <c r="K10" i="5"/>
  <c r="N10" i="5" s="1"/>
  <c r="F11" i="5"/>
  <c r="L11" i="5" s="1"/>
  <c r="O11" i="5" s="1"/>
  <c r="K11" i="5"/>
  <c r="N11" i="5" s="1"/>
  <c r="G3" i="10"/>
  <c r="D12" i="7"/>
  <c r="D14" i="7" s="1"/>
  <c r="M6" i="5"/>
  <c r="F14" i="5"/>
  <c r="L14" i="5" s="1"/>
  <c r="O14" i="5" s="1"/>
  <c r="K14" i="5"/>
  <c r="N14" i="5" s="1"/>
  <c r="F13" i="5"/>
  <c r="L13" i="5" s="1"/>
  <c r="K13" i="5"/>
  <c r="F12" i="5"/>
  <c r="L12" i="5" s="1"/>
  <c r="O12" i="5" s="1"/>
  <c r="K12" i="5"/>
  <c r="N12" i="5" s="1"/>
  <c r="K15" i="5"/>
  <c r="N15" i="5" s="1"/>
  <c r="F15" i="5"/>
  <c r="L15" i="5" s="1"/>
  <c r="O15" i="5" s="1"/>
  <c r="K9" i="5"/>
  <c r="N9" i="5" s="1"/>
  <c r="F9" i="5"/>
  <c r="L9" i="5" s="1"/>
  <c r="O9" i="5" s="1"/>
  <c r="F8" i="5"/>
  <c r="L8" i="5" s="1"/>
  <c r="O8" i="5" s="1"/>
  <c r="K8" i="5"/>
  <c r="N8" i="5" s="1"/>
  <c r="F7" i="5"/>
  <c r="L7" i="5" s="1"/>
  <c r="O7" i="5" s="1"/>
  <c r="K7" i="5"/>
  <c r="N7" i="5" s="1"/>
  <c r="K6" i="5"/>
  <c r="F6" i="5"/>
  <c r="C5" i="8"/>
  <c r="I8" i="2"/>
  <c r="I7" i="2"/>
  <c r="D19" i="7"/>
  <c r="D42" i="7" l="1"/>
  <c r="D43" i="7" s="1"/>
  <c r="O13" i="5"/>
  <c r="N13" i="5"/>
  <c r="D16" i="7"/>
  <c r="D15" i="7"/>
  <c r="H6" i="5"/>
  <c r="G18" i="10"/>
  <c r="G20" i="10" s="1"/>
  <c r="H5" i="5" s="1"/>
  <c r="N6" i="5"/>
  <c r="C5" i="9"/>
  <c r="L6" i="5"/>
  <c r="H3" i="10" l="1"/>
  <c r="D17" i="7"/>
  <c r="C7" i="8"/>
  <c r="C11" i="8" s="1"/>
  <c r="B20" i="9"/>
  <c r="B13" i="9"/>
  <c r="B50" i="9"/>
  <c r="B49" i="9"/>
  <c r="B41" i="9"/>
  <c r="B30" i="9"/>
  <c r="B23" i="9"/>
  <c r="B22" i="9"/>
  <c r="B33" i="9"/>
  <c r="B39" i="9"/>
  <c r="B15" i="9"/>
  <c r="B44" i="9"/>
  <c r="B25" i="9"/>
  <c r="B48" i="9"/>
  <c r="B19" i="9"/>
  <c r="B24" i="9"/>
  <c r="B43" i="9"/>
  <c r="B26" i="9"/>
  <c r="B46" i="9"/>
  <c r="B34" i="9"/>
  <c r="B21" i="9"/>
  <c r="B40" i="9"/>
  <c r="B47" i="9"/>
  <c r="B32" i="9"/>
  <c r="B38" i="9"/>
  <c r="B42" i="9"/>
  <c r="B27" i="9"/>
  <c r="B37" i="9"/>
  <c r="B36" i="9"/>
  <c r="B45" i="9"/>
  <c r="B35" i="9"/>
  <c r="B16" i="9"/>
  <c r="B29" i="9"/>
  <c r="B18" i="9"/>
  <c r="B17" i="9"/>
  <c r="B14" i="9"/>
  <c r="B28" i="9"/>
  <c r="B31" i="9"/>
  <c r="O6" i="5"/>
  <c r="C12" i="8" l="1"/>
  <c r="C13" i="8" s="1"/>
  <c r="C17" i="8" l="1"/>
  <c r="C18" i="8" s="1"/>
  <c r="E10" i="3" s="1"/>
  <c r="C15" i="8"/>
  <c r="C16" i="8" s="1"/>
  <c r="E30" i="3" l="1"/>
  <c r="D10" i="3"/>
  <c r="D18" i="7" l="1"/>
  <c r="D20" i="7" s="1"/>
  <c r="D22" i="7" s="1"/>
  <c r="D25" i="7" s="1"/>
  <c r="C4" i="9"/>
  <c r="D28" i="7" l="1"/>
  <c r="D27" i="7"/>
  <c r="C13" i="9"/>
  <c r="C14" i="9" s="1"/>
  <c r="C15" i="9" s="1"/>
  <c r="C16" i="9" s="1"/>
  <c r="C17" i="9" s="1"/>
  <c r="C18" i="9" s="1"/>
  <c r="C19" i="9" s="1"/>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C6" i="9"/>
  <c r="C7" i="9" s="1"/>
  <c r="C8" i="9" s="1"/>
  <c r="D46" i="7"/>
  <c r="D29" i="7" l="1"/>
  <c r="D30" i="7" s="1"/>
  <c r="D31" i="7" s="1"/>
  <c r="D32" i="7" s="1"/>
  <c r="D45" i="7" s="1"/>
  <c r="D48" i="7" s="1"/>
  <c r="D49"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Raphaël Guilbert</author>
  </authors>
  <commentList>
    <comment ref="B16" authorId="0" shapeId="0" xr:uid="{6B17B63C-FEF7-42EC-986C-3B89B6F279D9}">
      <text>
        <r>
          <rPr>
            <b/>
            <sz val="9"/>
            <color indexed="81"/>
            <rFont val="Tahoma"/>
            <family val="2"/>
          </rPr>
          <t>Raphaël Guilbert:</t>
        </r>
        <r>
          <rPr>
            <sz val="9"/>
            <color indexed="81"/>
            <rFont val="Tahoma"/>
            <family val="2"/>
          </rPr>
          <t xml:space="preserve">
rajoutez d'autres investissements spécifiques à votre activité si besoin...</t>
        </r>
      </text>
    </comment>
    <comment ref="B17" authorId="0" shapeId="0" xr:uid="{2DD44291-BFC1-4757-9BC9-EDC0E6B1DC5A}">
      <text>
        <r>
          <rPr>
            <b/>
            <sz val="9"/>
            <color indexed="81"/>
            <rFont val="Tahoma"/>
            <family val="2"/>
          </rPr>
          <t>Raphaël Guilbert:</t>
        </r>
        <r>
          <rPr>
            <sz val="9"/>
            <color indexed="81"/>
            <rFont val="Tahoma"/>
            <family val="2"/>
          </rPr>
          <t xml:space="preserve">
rajoutez d'autres investissements spécifiques à votre activité si besoin...</t>
        </r>
      </text>
    </comment>
    <comment ref="B18" authorId="0" shapeId="0" xr:uid="{25F43AB4-ABE7-4F18-AFA4-F7C4DE4964B7}">
      <text>
        <r>
          <rPr>
            <b/>
            <sz val="9"/>
            <color indexed="81"/>
            <rFont val="Tahoma"/>
            <family val="2"/>
          </rPr>
          <t>Raphaël Guilbert:</t>
        </r>
        <r>
          <rPr>
            <sz val="9"/>
            <color indexed="81"/>
            <rFont val="Tahoma"/>
            <family val="2"/>
          </rPr>
          <t xml:space="preserve">
rajoutez d'autres investissements spécifiques à votre activité si besoin...</t>
        </r>
      </text>
    </comment>
    <comment ref="B19" authorId="0" shapeId="0" xr:uid="{8FD6C3B9-6DAD-4DB0-8384-8F51A003010B}">
      <text>
        <r>
          <rPr>
            <b/>
            <sz val="9"/>
            <color indexed="81"/>
            <rFont val="Tahoma"/>
            <family val="2"/>
          </rPr>
          <t>Raphaël Guilbert:</t>
        </r>
        <r>
          <rPr>
            <sz val="9"/>
            <color indexed="81"/>
            <rFont val="Tahoma"/>
            <family val="2"/>
          </rPr>
          <t xml:space="preserve">
rajoutez d'autres investissements spécifiques à votre activité si besoin...</t>
        </r>
      </text>
    </comment>
    <comment ref="B20" authorId="0" shapeId="0" xr:uid="{15730CA4-633C-441C-9092-EC3C98A0D27B}">
      <text>
        <r>
          <rPr>
            <b/>
            <sz val="9"/>
            <color indexed="81"/>
            <rFont val="Tahoma"/>
            <family val="2"/>
          </rPr>
          <t>Raphaël Guilbert:</t>
        </r>
        <r>
          <rPr>
            <sz val="9"/>
            <color indexed="81"/>
            <rFont val="Tahoma"/>
            <family val="2"/>
          </rPr>
          <t xml:space="preserve">
rajoutez d'autres investissements spécifiques à votre activité si besoin...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Vincent Gilleman</author>
  </authors>
  <commentList>
    <comment ref="C26" authorId="0" shapeId="0" xr:uid="{83E0869D-DE13-4AE9-B2AC-5105A64D7AAC}">
      <text>
        <r>
          <rPr>
            <b/>
            <sz val="9"/>
            <color indexed="81"/>
            <rFont val="Tahoma"/>
            <family val="2"/>
          </rPr>
          <t>Vincent Gilleman:</t>
        </r>
        <r>
          <rPr>
            <sz val="9"/>
            <color indexed="81"/>
            <rFont val="Tahoma"/>
            <family val="2"/>
          </rPr>
          <t xml:space="preserve">
Rajoutez ici d'autres frais PRO potentiels</t>
        </r>
      </text>
    </comment>
    <comment ref="C27" authorId="0" shapeId="0" xr:uid="{BA328D0C-CC51-450F-858F-96AF6182B9AB}">
      <text>
        <r>
          <rPr>
            <b/>
            <sz val="9"/>
            <color indexed="81"/>
            <rFont val="Tahoma"/>
            <family val="2"/>
          </rPr>
          <t>Vincent Gilleman:</t>
        </r>
        <r>
          <rPr>
            <sz val="9"/>
            <color indexed="81"/>
            <rFont val="Tahoma"/>
            <family val="2"/>
          </rPr>
          <t xml:space="preserve">
Rajoutez ici d'autres frais PRO potentiels</t>
        </r>
      </text>
    </comment>
    <comment ref="C28" authorId="0" shapeId="0" xr:uid="{CE9FB3F4-C319-44BF-9F09-A837E6291C3C}">
      <text>
        <r>
          <rPr>
            <b/>
            <sz val="9"/>
            <color indexed="81"/>
            <rFont val="Tahoma"/>
            <family val="2"/>
          </rPr>
          <t>Vincent Gilleman:</t>
        </r>
        <r>
          <rPr>
            <sz val="9"/>
            <color indexed="81"/>
            <rFont val="Tahoma"/>
            <family val="2"/>
          </rPr>
          <t xml:space="preserve">
Rajoutez ici d'autres frais PRO potentiels</t>
        </r>
      </text>
    </comment>
    <comment ref="C29" authorId="0" shapeId="0" xr:uid="{3021355A-6976-4D25-B807-A5E57FECEE65}">
      <text>
        <r>
          <rPr>
            <b/>
            <sz val="9"/>
            <color indexed="81"/>
            <rFont val="Tahoma"/>
            <family val="2"/>
          </rPr>
          <t>Vincent Gilleman:</t>
        </r>
        <r>
          <rPr>
            <sz val="9"/>
            <color indexed="81"/>
            <rFont val="Tahoma"/>
            <family val="2"/>
          </rPr>
          <t xml:space="preserve">
Rajoutez ici d'autres frais PRO potentiels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Vincent Gilleman</author>
  </authors>
  <commentList>
    <comment ref="B4" authorId="0" shapeId="0" xr:uid="{89B7BE7D-587A-4C91-8CC6-0CB1EEFB23FE}">
      <text>
        <r>
          <rPr>
            <b/>
            <sz val="9"/>
            <color indexed="81"/>
            <rFont val="Tahoma"/>
            <family val="2"/>
          </rPr>
          <t>Vincent Gilleman:</t>
        </r>
        <r>
          <rPr>
            <sz val="9"/>
            <color indexed="81"/>
            <rFont val="Tahoma"/>
            <family val="2"/>
          </rPr>
          <t xml:space="preserve">
exple: vente d'1 atelier au participant le CA de l'atelier est dépendant du nbre de participants)</t>
        </r>
      </text>
    </comment>
    <comment ref="D4" authorId="0" shapeId="0" xr:uid="{8DE13924-B809-4379-9F38-467D581879AC}">
      <text>
        <r>
          <rPr>
            <b/>
            <sz val="9"/>
            <color indexed="81"/>
            <rFont val="Tahoma"/>
            <family val="2"/>
          </rPr>
          <t>Vincent Gilleman:</t>
        </r>
        <r>
          <rPr>
            <sz val="9"/>
            <color indexed="81"/>
            <rFont val="Tahoma"/>
            <family val="2"/>
          </rPr>
          <t xml:space="preserve">
exple: vente d'1 atelier au participant le CA de l'atelier est dépendant du nbre de participants)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Raphaël Guilbert</author>
  </authors>
  <commentList>
    <comment ref="G4" authorId="0" shapeId="0" xr:uid="{142D724F-5E99-450D-BA6B-37CB940FF4DE}">
      <text>
        <r>
          <rPr>
            <b/>
            <sz val="9"/>
            <color indexed="81"/>
            <rFont val="Tahoma"/>
            <family val="2"/>
          </rPr>
          <t>Raphaël Guilbert:</t>
        </r>
        <r>
          <rPr>
            <sz val="9"/>
            <color indexed="81"/>
            <rFont val="Tahoma"/>
            <family val="2"/>
          </rPr>
          <t xml:space="preserve">
mettre 0,5 par exemple si vente d'1 ts les 2 mois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Raphaël Guilbert</author>
    <author>Vincent Gilleman</author>
  </authors>
  <commentList>
    <comment ref="C2" authorId="0" shapeId="0" xr:uid="{8C0A41E5-B744-4B25-9B2C-FD474EFF9DE4}">
      <text>
        <r>
          <rPr>
            <b/>
            <sz val="9"/>
            <color indexed="81"/>
            <rFont val="Tahoma"/>
            <family val="2"/>
          </rPr>
          <t>Raphaël Gu
ilbert:</t>
        </r>
        <r>
          <rPr>
            <sz val="9"/>
            <color indexed="81"/>
            <rFont val="Tahoma"/>
            <family val="2"/>
          </rPr>
          <t xml:space="preserve">
1h = 1; 1/2h=0,5  pensez à tenir compte du tps de préparation et de déplacement</t>
        </r>
      </text>
    </comment>
    <comment ref="D2" authorId="0" shapeId="0" xr:uid="{3DE30CA9-8C1C-4863-8325-AA7D0B19CA91}">
      <text>
        <r>
          <rPr>
            <b/>
            <sz val="9"/>
            <color indexed="81"/>
            <rFont val="Tahoma"/>
            <family val="2"/>
          </rPr>
          <t>Raphaël Guilbert:</t>
        </r>
        <r>
          <rPr>
            <sz val="9"/>
            <color indexed="81"/>
            <rFont val="Tahoma"/>
            <family val="2"/>
          </rPr>
          <t xml:space="preserve">
si vs vendez au forfait indépendament du nbr de participants, mettez "1"</t>
        </r>
      </text>
    </comment>
    <comment ref="B16" authorId="1" shapeId="0" xr:uid="{EC9FA67D-0CAF-45C4-8C75-AEA36B7E8135}">
      <text>
        <r>
          <rPr>
            <b/>
            <sz val="9"/>
            <color indexed="81"/>
            <rFont val="Tahoma"/>
            <family val="2"/>
          </rPr>
          <t>Vincent Gilleman:</t>
        </r>
        <r>
          <rPr>
            <sz val="9"/>
            <color indexed="81"/>
            <rFont val="Tahoma"/>
            <family val="2"/>
          </rPr>
          <t xml:space="preserve">
Rajoutez ici d'autres frais PRO potentiels</t>
        </r>
      </text>
    </comment>
    <comment ref="B17" authorId="1" shapeId="0" xr:uid="{FF71AC90-C019-4D48-8405-3075B54F43BD}">
      <text>
        <r>
          <rPr>
            <b/>
            <sz val="9"/>
            <color indexed="81"/>
            <rFont val="Tahoma"/>
            <family val="2"/>
          </rPr>
          <t>Vincent Gilleman:</t>
        </r>
        <r>
          <rPr>
            <sz val="9"/>
            <color indexed="81"/>
            <rFont val="Tahoma"/>
            <family val="2"/>
          </rPr>
          <t xml:space="preserve">
Rajoutez ici d'autres frais PRO potentiels</t>
        </r>
      </text>
    </comment>
  </commentList>
</comments>
</file>

<file path=xl/sharedStrings.xml><?xml version="1.0" encoding="utf-8"?>
<sst xmlns="http://schemas.openxmlformats.org/spreadsheetml/2006/main" count="259" uniqueCount="213">
  <si>
    <t>Désignation</t>
  </si>
  <si>
    <t>Ordinateur</t>
  </si>
  <si>
    <t>Téléphone</t>
  </si>
  <si>
    <t>Luminaires</t>
  </si>
  <si>
    <t>TOTAL</t>
  </si>
  <si>
    <t>1er stock</t>
  </si>
  <si>
    <t>Apport personnel</t>
  </si>
  <si>
    <t>Capital à emprunter</t>
  </si>
  <si>
    <t>(garantie locative)</t>
  </si>
  <si>
    <t>(inauguration)</t>
  </si>
  <si>
    <t>Remboursement annuel</t>
  </si>
  <si>
    <t>Remboursement mensuel</t>
  </si>
  <si>
    <t>Intéret annuel</t>
  </si>
  <si>
    <t>Intérets mensuels</t>
  </si>
  <si>
    <t>Nombre de client/mois</t>
  </si>
  <si>
    <t>Nombre de client/semaine</t>
  </si>
  <si>
    <t>Nombre de client/jour</t>
  </si>
  <si>
    <t>durée de l'amortissement</t>
  </si>
  <si>
    <t>année</t>
  </si>
  <si>
    <t>mois</t>
  </si>
  <si>
    <t>Euros</t>
  </si>
  <si>
    <t>Unités:</t>
  </si>
  <si>
    <t>durée du prêt (années)</t>
  </si>
  <si>
    <t>Investissements</t>
  </si>
  <si>
    <t>nbr de loyer en garantie</t>
  </si>
  <si>
    <t>nbr de mois à pouvoir avancer des frais de fonctionnement</t>
  </si>
  <si>
    <t>frais d'approvisionnement du premier mois</t>
  </si>
  <si>
    <t xml:space="preserve">Revenus de l'indépendant </t>
  </si>
  <si>
    <t>Chiffre d'affaire mensuel moyen hors TVA</t>
  </si>
  <si>
    <t>Différentes approches à combiner éventuellement</t>
  </si>
  <si>
    <t>nombre d'heures prestées par mois</t>
  </si>
  <si>
    <t>tarif horaire</t>
  </si>
  <si>
    <t>tarif à la journée de 8h</t>
  </si>
  <si>
    <t>Calcul du net</t>
  </si>
  <si>
    <t>CA mensuel moyen</t>
  </si>
  <si>
    <t>mois d'activités</t>
  </si>
  <si>
    <t>CA annuel</t>
  </si>
  <si>
    <t>Résultat d'exploitation</t>
  </si>
  <si>
    <t>par trimestre</t>
  </si>
  <si>
    <t>BASE imposable</t>
  </si>
  <si>
    <t xml:space="preserve">IMPOTS sur base de </t>
  </si>
  <si>
    <t>TOTAL provisoire IMPOTS</t>
  </si>
  <si>
    <t>montant exonéré</t>
  </si>
  <si>
    <t>Total quotités exemptées</t>
  </si>
  <si>
    <t>Réduction impôt sur quotités exemptées</t>
  </si>
  <si>
    <t xml:space="preserve">Total impôt </t>
  </si>
  <si>
    <t>net annuel</t>
  </si>
  <si>
    <t>net mensuel</t>
  </si>
  <si>
    <t>Calcul ne tenant pas compte de certaines réductions d'impôts : investissement, etc,</t>
  </si>
  <si>
    <t>Montant exonérés</t>
  </si>
  <si>
    <t>de base</t>
  </si>
  <si>
    <t>conjoint</t>
  </si>
  <si>
    <t>1 enfant</t>
  </si>
  <si>
    <t>2 enfants</t>
  </si>
  <si>
    <t>3 enfants</t>
  </si>
  <si>
    <t>4 enfants</t>
  </si>
  <si>
    <t>par enfant</t>
  </si>
  <si>
    <t>sur nb de mois d'activité</t>
  </si>
  <si>
    <t>12 mois</t>
  </si>
  <si>
    <t>Frais généraux / frais de fonctionnement</t>
  </si>
  <si>
    <t>Frais de fonctionnement / frais généraux</t>
  </si>
  <si>
    <t>nbr de client</t>
  </si>
  <si>
    <t>Marge brute totale selon nbr de clients</t>
  </si>
  <si>
    <t>FG mensuel</t>
  </si>
  <si>
    <t>Marge brute par unité vendue</t>
  </si>
  <si>
    <t>marge brute par unité de produit</t>
  </si>
  <si>
    <t>Besoin d'argent comme fond de roulement</t>
  </si>
  <si>
    <t>Besoin d'argent</t>
  </si>
  <si>
    <t>INTRODUCTION</t>
  </si>
  <si>
    <t>Soyez le plus précis possible avec vos estimations.</t>
  </si>
  <si>
    <t>Les frais que vous devez effectuer pour faire tourner votre activité.</t>
  </si>
  <si>
    <t>Fond de roulement pour frais généraux (hors intérêt)</t>
  </si>
  <si>
    <t>PILATEF</t>
  </si>
  <si>
    <t>Vos produits</t>
  </si>
  <si>
    <t>Prix de vente/ unité 
TVAC</t>
  </si>
  <si>
    <t>supplément pour plus de 4 enfants à charge</t>
  </si>
  <si>
    <r>
      <rPr>
        <b/>
        <sz val="11"/>
        <color theme="1"/>
        <rFont val="Century Gothic"/>
        <family val="2"/>
      </rPr>
      <t>P</t>
    </r>
    <r>
      <rPr>
        <sz val="11"/>
        <color theme="1"/>
        <rFont val="Century Gothic"/>
        <family val="2"/>
      </rPr>
      <t>ublicité</t>
    </r>
  </si>
  <si>
    <r>
      <rPr>
        <b/>
        <sz val="11"/>
        <color theme="1"/>
        <rFont val="Century Gothic"/>
        <family val="2"/>
      </rPr>
      <t>I</t>
    </r>
    <r>
      <rPr>
        <sz val="11"/>
        <color theme="1"/>
        <rFont val="Century Gothic"/>
        <family val="2"/>
      </rPr>
      <t>ntérêts des emprunts</t>
    </r>
  </si>
  <si>
    <r>
      <rPr>
        <b/>
        <sz val="11"/>
        <color theme="1"/>
        <rFont val="Century Gothic"/>
        <family val="2"/>
      </rPr>
      <t>L</t>
    </r>
    <r>
      <rPr>
        <sz val="11"/>
        <color theme="1"/>
        <rFont val="Century Gothic"/>
        <family val="2"/>
      </rPr>
      <t>oyer</t>
    </r>
  </si>
  <si>
    <r>
      <rPr>
        <b/>
        <sz val="11"/>
        <color theme="1"/>
        <rFont val="Century Gothic"/>
        <family val="2"/>
      </rPr>
      <t>A</t>
    </r>
    <r>
      <rPr>
        <sz val="11"/>
        <color theme="1"/>
        <rFont val="Century Gothic"/>
        <family val="2"/>
      </rPr>
      <t>ssurances</t>
    </r>
  </si>
  <si>
    <r>
      <rPr>
        <b/>
        <sz val="11"/>
        <color theme="1"/>
        <rFont val="Century Gothic"/>
        <family val="2"/>
      </rPr>
      <t>T</t>
    </r>
    <r>
      <rPr>
        <sz val="11"/>
        <color theme="1"/>
        <rFont val="Century Gothic"/>
        <family val="2"/>
      </rPr>
      <t>élécomunications</t>
    </r>
  </si>
  <si>
    <r>
      <rPr>
        <b/>
        <sz val="11"/>
        <color theme="1"/>
        <rFont val="Century Gothic"/>
        <family val="2"/>
      </rPr>
      <t>E</t>
    </r>
    <r>
      <rPr>
        <sz val="11"/>
        <color theme="1"/>
        <rFont val="Century Gothic"/>
        <family val="2"/>
      </rPr>
      <t>nergie</t>
    </r>
  </si>
  <si>
    <r>
      <rPr>
        <b/>
        <sz val="11"/>
        <color theme="1"/>
        <rFont val="Century Gothic"/>
        <family val="2"/>
      </rPr>
      <t>F</t>
    </r>
    <r>
      <rPr>
        <sz val="11"/>
        <color theme="1"/>
        <rFont val="Century Gothic"/>
        <family val="2"/>
      </rPr>
      <t xml:space="preserve">rais divers </t>
    </r>
    <r>
      <rPr>
        <i/>
        <sz val="11"/>
        <color theme="1"/>
        <rFont val="Century Gothic"/>
        <family val="2"/>
      </rPr>
      <t>(tout ce qui sert à plus d'un client)</t>
    </r>
  </si>
  <si>
    <t>Cette feuille calcule combien vous avez besoin d'argent pour démarrer l'activité, pour avancer l'argent avant que les clients ne payent.</t>
  </si>
  <si>
    <t>Produits</t>
  </si>
  <si>
    <t>Type de frais</t>
  </si>
  <si>
    <t>Frais  HTVA</t>
  </si>
  <si>
    <t>marge brute mensuelle de ce produit par mois moyen</t>
  </si>
  <si>
    <t>CA HTVA mensuel moyen</t>
  </si>
  <si>
    <t>Seuil de rentabilité mensuel du premier produit introduit dans l'onglet CA et frais d'appro</t>
  </si>
  <si>
    <t>Attention avec cela vous ne couvrez pas encore vos cotisations sociales,vos impôts et vos amortissements !!</t>
  </si>
  <si>
    <t>CA dans Jobyourself</t>
  </si>
  <si>
    <t>Principal</t>
  </si>
  <si>
    <t>% frais approvisionnement</t>
  </si>
  <si>
    <t>% frais généraux (forfaitaire 20% CA)</t>
  </si>
  <si>
    <t>Chiffre d'affaire, frais d'approvisionnement et marge brute</t>
  </si>
  <si>
    <t>frais 4% guichet d'entreprise inclus</t>
  </si>
  <si>
    <t>Frais d'approvisionnement HTVA par produit</t>
  </si>
  <si>
    <t>frais d'approvisionnement par unité (HTVA)</t>
  </si>
  <si>
    <t>nbr unités vendues par an</t>
  </si>
  <si>
    <t xml:space="preserve">CA HTVA annuel </t>
  </si>
  <si>
    <t>Montant mensuel de l'amortissement année 1</t>
  </si>
  <si>
    <t>Choix TVA  (0%, 6%, 12%, 21%)</t>
  </si>
  <si>
    <t>TVA</t>
  </si>
  <si>
    <t>Bureau</t>
  </si>
  <si>
    <t>Chaises</t>
  </si>
  <si>
    <t>Création Site Web</t>
  </si>
  <si>
    <t>Montant mensuel de l'amortissement année 2 ou plus</t>
  </si>
  <si>
    <t>Produit 4</t>
  </si>
  <si>
    <t>Produit 5</t>
  </si>
  <si>
    <t>Produit 6</t>
  </si>
  <si>
    <t>Produit 7</t>
  </si>
  <si>
    <t>Produit 8</t>
  </si>
  <si>
    <t>Fourniture de bureau</t>
  </si>
  <si>
    <t>prix de vente/ unité HTVA</t>
  </si>
  <si>
    <t>Comptable</t>
  </si>
  <si>
    <t xml:space="preserve">frais d'appro moyen par mois </t>
  </si>
  <si>
    <t xml:space="preserve">frais d'appro annuel </t>
  </si>
  <si>
    <t>Somme totale des H PREVUES</t>
  </si>
  <si>
    <t xml:space="preserve">Restent disponibles &gt; </t>
  </si>
  <si>
    <t>Le fichier suivant découpe le plan financier de votre activité. Il va vous permettre de réaliser quel revenu vous pouvez espérer de votre activité.</t>
  </si>
  <si>
    <t xml:space="preserve"> 1) Attention! /  Let Op! / Achtung!</t>
  </si>
  <si>
    <t>Seules ces cases "saumons" sont à remplir selon votre situation</t>
  </si>
  <si>
    <t>Toutes les autres cases se remplissent automatiquement 
=&gt; ne surtout pas les remplir sinon vous écrasez les formules =&gt; penser à revenir en arrière si besoin &lt;CTRL&gt;  &lt; Z&gt;</t>
  </si>
  <si>
    <r>
      <rPr>
        <b/>
        <i/>
        <sz val="11"/>
        <color rgb="FFFF0000"/>
        <rFont val="Century Gothic"/>
        <family val="2"/>
      </rPr>
      <t>3)</t>
    </r>
    <r>
      <rPr>
        <b/>
        <i/>
        <sz val="11"/>
        <color theme="1"/>
        <rFont val="Century Gothic"/>
        <family val="2"/>
      </rPr>
      <t xml:space="preserve"> Faites varier les hypothèses pour voir ce que cela donne sur votre rentabilité, et le revenu que vous pouvez tirer de l'activité. Vous pouvez créer autant de scénarios que vous le souhaitez pour tester l'impact économique de vos hypothèses: prix de vente, frais généraux...</t>
    </r>
  </si>
  <si>
    <t>Les investissements dont vous avez absolument besoin pour démarrer votre activité.</t>
  </si>
  <si>
    <t>Ce que vous possédez déjà ne compte pas à ce stade. A moins que l'investissement soit récent et que vous ayez encore la facture. Dans ce cas il faut indiquer en prix d'achat le montant non amorti.</t>
  </si>
  <si>
    <r>
      <rPr>
        <b/>
        <sz val="11"/>
        <color rgb="FFFF0000"/>
        <rFont val="Century Gothic"/>
        <family val="2"/>
      </rPr>
      <t>INVESTISSEMENT</t>
    </r>
    <r>
      <rPr>
        <sz val="11"/>
        <color rgb="FFFF0000"/>
        <rFont val="Century Gothic"/>
        <family val="2"/>
      </rPr>
      <t xml:space="preserve">  = Matériel (outils, machine, mobilier, véhicule) que vous allez utiliser sur min 2 ans pour un montant supérieur à 250 euros HTVA (coût unitaire)</t>
    </r>
  </si>
  <si>
    <r>
      <rPr>
        <b/>
        <sz val="11"/>
        <color rgb="FFFF0000"/>
        <rFont val="Calibri"/>
        <family val="2"/>
        <scheme val="minor"/>
      </rPr>
      <t>FRAIS GENERAUX</t>
    </r>
    <r>
      <rPr>
        <sz val="11"/>
        <color rgb="FFFF0000"/>
        <rFont val="Calibri"/>
        <family val="2"/>
        <scheme val="minor"/>
      </rPr>
      <t> = coûts engagés par une entreprise dans le cadre de ses activités quotidiennes : tous les frais de fonctionnement récurrents (ex : électricité, déplacements, communications, location assurances…) sauf les frais variables qui vont se retrouver dans le calcul de la marge brute à l’onglet suivant.</t>
    </r>
  </si>
  <si>
    <t>1</t>
  </si>
  <si>
    <t>nb d'unités ou de participants</t>
  </si>
  <si>
    <t>nbr moyen d'unités  vendues par mois</t>
  </si>
  <si>
    <t>Produit 9</t>
  </si>
  <si>
    <t>Unités vendues ou nb participants/mois</t>
  </si>
  <si>
    <t>Unités prestés/mois</t>
  </si>
  <si>
    <t>Produit 3</t>
  </si>
  <si>
    <t>Produit 2</t>
  </si>
  <si>
    <t>Produit 10</t>
  </si>
  <si>
    <t>si propriétaire OU voir avec propriétaire car inscription dans bail. Sera calculé au prorata du métrage carré de la surface pro</t>
  </si>
  <si>
    <t>Temps de production unitaire en heure</t>
  </si>
  <si>
    <t>Temps de production total investi</t>
  </si>
  <si>
    <r>
      <t xml:space="preserve">Temps dédié à l'Administratif </t>
    </r>
    <r>
      <rPr>
        <sz val="11"/>
        <color rgb="FFFF0000"/>
        <rFont val="Century Gothic"/>
        <family val="2"/>
      </rPr>
      <t>*</t>
    </r>
  </si>
  <si>
    <r>
      <t>Heures dispo / mois (référent)</t>
    </r>
    <r>
      <rPr>
        <sz val="11"/>
        <color rgb="FFFF0000"/>
        <rFont val="Century Gothic"/>
        <family val="2"/>
      </rPr>
      <t xml:space="preserve"> *</t>
    </r>
  </si>
  <si>
    <t>&lt; 4,2</t>
  </si>
  <si>
    <t>*</t>
  </si>
  <si>
    <t>durée totale mensuelle restant disponible</t>
  </si>
  <si>
    <r>
      <t xml:space="preserve">2) </t>
    </r>
    <r>
      <rPr>
        <b/>
        <i/>
        <sz val="11"/>
        <color theme="1"/>
        <rFont val="Century Gothic"/>
        <family val="2"/>
      </rPr>
      <t>Veuillez à vous projeter</t>
    </r>
    <r>
      <rPr>
        <b/>
        <i/>
        <sz val="11"/>
        <color rgb="FFFF0000"/>
        <rFont val="Century Gothic"/>
        <family val="2"/>
      </rPr>
      <t xml:space="preserve"> à la fin de vos 18 mois de test pour créer ce plan financier, </t>
    </r>
    <r>
      <rPr>
        <b/>
        <i/>
        <sz val="11"/>
        <rFont val="Century Gothic"/>
        <family val="2"/>
      </rPr>
      <t>n</t>
    </r>
    <r>
      <rPr>
        <b/>
        <i/>
        <sz val="11"/>
        <color theme="1"/>
        <rFont val="Century Gothic"/>
        <family val="2"/>
      </rPr>
      <t>ous parlerons donc de votre 1er mois d'activité en tant qu'indépendant avec votre propre numéro de TVA: soit 19 mois après le début de votre test.</t>
    </r>
  </si>
  <si>
    <t>ou Calcul approvisionnement annuel</t>
  </si>
  <si>
    <t>ou Calcul frais généraux annuel</t>
  </si>
  <si>
    <t>Amortissement annuel (année 1)</t>
  </si>
  <si>
    <r>
      <t xml:space="preserve">INASTI </t>
    </r>
    <r>
      <rPr>
        <b/>
        <sz val="10"/>
        <rFont val="Arial"/>
        <family val="2"/>
      </rPr>
      <t>entre 13.993,78 et 60.427,15</t>
    </r>
  </si>
  <si>
    <t>Sera calculé au prorata du métrage carré de la surface pro</t>
  </si>
  <si>
    <r>
      <t xml:space="preserve">Coût/Mois </t>
    </r>
    <r>
      <rPr>
        <b/>
        <sz val="11"/>
        <color rgb="FFFF0000"/>
        <rFont val="Century Gothic"/>
        <family val="2"/>
      </rPr>
      <t>HTVA</t>
    </r>
  </si>
  <si>
    <t xml:space="preserve">conjoint idem </t>
  </si>
  <si>
    <t>impression Cartes de visite</t>
  </si>
  <si>
    <t>Pub Réseaux sociaux</t>
  </si>
  <si>
    <t xml:space="preserve">marge brute annuelle de ce produit </t>
  </si>
  <si>
    <t>tarif à la pièce</t>
  </si>
  <si>
    <t>montant exonéré/enfant</t>
  </si>
  <si>
    <t>Micro Cravate</t>
  </si>
  <si>
    <t>&gt;</t>
  </si>
  <si>
    <t xml:space="preserve">Comment obtenir le montant Htva ? &gt;  montant tvaC/1,21 </t>
  </si>
  <si>
    <t xml:space="preserve">si 1 seul abonnement GSM: part pro = 75-80%. OU si abonnement exclusivement PRO: à reprendre à 100% </t>
  </si>
  <si>
    <t xml:space="preserve">si 1 seul abonnement INTERNET: part pro = Sera calculé au prorata du métrage carré de la surface pro. OU si abonnement exclusivement PRO : à reprendre à 100% </t>
  </si>
  <si>
    <t xml:space="preserve">si travail depuis le domicile: part pro de la facture = Sera calculé au prorata du métrage carré de la surface pro. OU si local exclusivement PRO: à reprendre à 100% </t>
  </si>
  <si>
    <t>Pour obtenir le montant Htva &gt;  montant tvaC/1,21 (pour TVA à 21%)</t>
  </si>
  <si>
    <r>
      <t xml:space="preserve">Coût/annuel </t>
    </r>
    <r>
      <rPr>
        <b/>
        <sz val="11"/>
        <color rgb="FFFF0000"/>
        <rFont val="Century Gothic"/>
        <family val="2"/>
      </rPr>
      <t>HTVA</t>
    </r>
  </si>
  <si>
    <r>
      <t>Responsabilité Civile et Jur Pro</t>
    </r>
    <r>
      <rPr>
        <sz val="8"/>
        <color theme="1"/>
        <rFont val="Century Gothic"/>
        <family val="2"/>
      </rPr>
      <t xml:space="preserve"> (Obligatoire)</t>
    </r>
  </si>
  <si>
    <r>
      <t>Revenu garanti</t>
    </r>
    <r>
      <rPr>
        <sz val="8"/>
        <color theme="1"/>
        <rFont val="Century Gothic"/>
        <family val="2"/>
      </rPr>
      <t xml:space="preserve">  (option)</t>
    </r>
  </si>
  <si>
    <r>
      <t>Pension complémentaire (PLCI)</t>
    </r>
    <r>
      <rPr>
        <sz val="8"/>
        <color theme="1"/>
        <rFont val="Century Gothic"/>
        <family val="2"/>
      </rPr>
      <t xml:space="preserve"> (option)</t>
    </r>
  </si>
  <si>
    <r>
      <t>Location de licence</t>
    </r>
    <r>
      <rPr>
        <sz val="9"/>
        <color theme="1"/>
        <rFont val="Century Gothic"/>
        <family val="2"/>
      </rPr>
      <t xml:space="preserve"> (Adobe, Canva, ChatGPT...)</t>
    </r>
  </si>
  <si>
    <t>Déplacements</t>
  </si>
  <si>
    <t>Formations</t>
  </si>
  <si>
    <t>Ce fichier est mis à disposition des Candidats-Entrepreneurs de JYS</t>
  </si>
  <si>
    <r>
      <t>Prix d'achat</t>
    </r>
    <r>
      <rPr>
        <b/>
        <sz val="11"/>
        <color rgb="FFFF0000"/>
        <rFont val="Century Gothic"/>
        <family val="2"/>
      </rPr>
      <t xml:space="preserve"> 
tvaC</t>
    </r>
  </si>
  <si>
    <r>
      <t xml:space="preserve">Prix d'achat
</t>
    </r>
    <r>
      <rPr>
        <b/>
        <sz val="11"/>
        <color rgb="FFFF0000"/>
        <rFont val="Century Gothic"/>
        <family val="2"/>
      </rPr>
      <t>Htva</t>
    </r>
  </si>
  <si>
    <t>Durée de production</t>
  </si>
  <si>
    <t>168 = équivalent 40h/sem, 4,2semaines/mois = 1ETP</t>
  </si>
  <si>
    <t>134 = équivalent 32h/sem, 4,2semaines/mois = 4/5 ETP</t>
  </si>
  <si>
    <t>100 = équivalent 24h/sem, 4,2semaines/mois = 3/5 ETP</t>
  </si>
  <si>
    <t>68 = équivalent 16h/sem, 4,2semaines/mois = 1/2 ETP</t>
  </si>
  <si>
    <t>Marge Brute par heure</t>
  </si>
  <si>
    <t>*chiffre 2024</t>
  </si>
  <si>
    <t>≥ 48 320,00 €</t>
  </si>
  <si>
    <t>Calcul de l'impôt au plus juste en fonction de la situation personnelle</t>
  </si>
  <si>
    <t>https://finances.belgium.be/fr/E-services/Tax-calc</t>
  </si>
  <si>
    <t>Si vous désirez mettre un vehicule (2-3-4… roues) dans les investissements, renseignez-vous sur la partie déductible qui va dépendre de plusieurs paramètres.</t>
  </si>
  <si>
    <t>Nom de domaine</t>
  </si>
  <si>
    <t xml:space="preserve">Hébergement </t>
  </si>
  <si>
    <t>Mise à jour/maintenance site web</t>
  </si>
  <si>
    <t>Identité visuelle du projet</t>
  </si>
  <si>
    <t>Gaz et électricité</t>
  </si>
  <si>
    <t>Internet</t>
  </si>
  <si>
    <t>Incendie</t>
  </si>
  <si>
    <t>GSM</t>
  </si>
  <si>
    <t>(frais d'enregistrement &gt; Ouverture n° TVA)</t>
  </si>
  <si>
    <r>
      <rPr>
        <u/>
        <sz val="9"/>
        <color theme="1"/>
        <rFont val="Century Gothic"/>
        <family val="2"/>
      </rPr>
      <t>Voiture</t>
    </r>
    <r>
      <rPr>
        <sz val="9"/>
        <color theme="1"/>
        <rFont val="Century Gothic"/>
        <family val="2"/>
      </rPr>
      <t xml:space="preserve">: 0,4290 € / km &amp; </t>
    </r>
    <r>
      <rPr>
        <u/>
        <sz val="9"/>
        <color theme="1"/>
        <rFont val="Century Gothic"/>
        <family val="2"/>
      </rPr>
      <t>Vélo: 0,24 €/km</t>
    </r>
    <r>
      <rPr>
        <sz val="9"/>
        <color theme="1"/>
        <rFont val="Century Gothic"/>
        <family val="2"/>
      </rPr>
      <t xml:space="preserve"> pour utilisation privé/pro ; STIB-TEC-DE LIJN-SNCB a</t>
    </r>
    <r>
      <rPr>
        <u/>
        <sz val="9"/>
        <color theme="1"/>
        <rFont val="Century Gothic"/>
        <family val="2"/>
      </rPr>
      <t xml:space="preserve">bonnement </t>
    </r>
    <r>
      <rPr>
        <sz val="9"/>
        <color theme="1"/>
        <rFont val="Century Gothic"/>
        <family val="2"/>
      </rPr>
      <t xml:space="preserve">: 80% ; cartes 10 trajets: à 100% sur justificatifs </t>
    </r>
  </si>
  <si>
    <t>chiffres pour 2025</t>
  </si>
  <si>
    <t>Renseignez-vous sur internet concernant la durée d'amortissement</t>
  </si>
  <si>
    <t>Coworking</t>
  </si>
  <si>
    <t>Dépot de marque</t>
  </si>
  <si>
    <r>
      <t>Temps dédié à ,,,</t>
    </r>
    <r>
      <rPr>
        <sz val="11"/>
        <color rgb="FFFF0000"/>
        <rFont val="Century Gothic"/>
        <family val="2"/>
      </rPr>
      <t>*</t>
    </r>
  </si>
  <si>
    <r>
      <t>Temps dédié à ...</t>
    </r>
    <r>
      <rPr>
        <sz val="11"/>
        <color rgb="FFFF0000"/>
        <rFont val="Century Gothic"/>
        <family val="2"/>
      </rPr>
      <t>*</t>
    </r>
  </si>
  <si>
    <t>&gt; Toutes les activités mentionnées dans votre BMC doivent être reprise dans ce fichier</t>
  </si>
  <si>
    <r>
      <t xml:space="preserve">&gt; </t>
    </r>
    <r>
      <rPr>
        <sz val="10"/>
        <rFont val="Century Gothic"/>
        <family val="2"/>
      </rPr>
      <t>à complèter selon le temps de travail souhaité</t>
    </r>
  </si>
  <si>
    <t>* Temps estimé en lancement de projet = +- 1/2 (admin + prospection + communication + … = heures invisibles) et +/- 1/2 facturable</t>
  </si>
  <si>
    <t>(ici calculée sur un seul produit - produit 1 )</t>
  </si>
  <si>
    <t xml:space="preserve">&gt; Les frais d'approvisionnement englobent aussi les frais variables liés au niveau d'activité. </t>
  </si>
  <si>
    <t xml:space="preserve">&gt; Chaque projet doit définir ses unités de produits ou services. </t>
  </si>
  <si>
    <t>Produit 1</t>
  </si>
  <si>
    <t xml:space="preserve">Imprimantes </t>
  </si>
  <si>
    <r>
      <t xml:space="preserve">Temps dédié à la COM </t>
    </r>
    <r>
      <rPr>
        <sz val="11"/>
        <color rgb="FFFF0000"/>
        <rFont val="Century Gothic"/>
        <family val="2"/>
      </rPr>
      <t>*</t>
    </r>
  </si>
  <si>
    <r>
      <t xml:space="preserve">Temps dédié à la Prospection </t>
    </r>
    <r>
      <rPr>
        <sz val="11"/>
        <color rgb="FFFF0000"/>
        <rFont val="Century Gothic"/>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</si>
</sst>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 &quot;€&quot;_-;\-* #,##0.00\ &quot;€&quot;_-;_-* &quot;-&quot;??\ &quot;€&quot;_-;_-@_-"/>
    <numFmt numFmtId="165" formatCode="#,##0\ &quot;€&quot;"/>
    <numFmt numFmtId="166" formatCode="_-* #,##0.00\ [$€-40C]_-;\-* #,##0.00\ [$€-40C]_-;_-* &quot;-&quot;??\ [$€-40C]_-;_-@_-"/>
    <numFmt numFmtId="167" formatCode="#,##0_ ;[Red]\-#,##0\ "/>
    <numFmt numFmtId="168" formatCode="0.0%"/>
    <numFmt numFmtId="169" formatCode="#,##0.00_ ;[Red]\-#,##0.00\ "/>
    <numFmt numFmtId="170" formatCode="_-* #,##0.00\ [$€-1]_-;\-* #,##0.00\ [$€-1]_-;_-* &quot;-&quot;??\ [$€-1]_-;_-@_-"/>
    <numFmt numFmtId="171" formatCode="#,##0.00_ ;\-#,##0.00\ "/>
    <numFmt numFmtId="172" formatCode="_-* #,##0.00\ [$€-80C]_-;\-* #,##0.00\ [$€-80C]_-;_-* &quot;-&quot;??\ [$€-80C]_-;_-@_-"/>
    <numFmt numFmtId="173" formatCode="_(* #,##0.00_);_(* \(#,##0.00\);_(* &quot;-&quot;??_);_(@_)"/>
    <numFmt numFmtId="174" formatCode="#,##0.00\ &quot;€&quot;"/>
    <numFmt numFmtId="175" formatCode="#,##0.00\ _€"/>
  </numFmts>
  <fonts count="61"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Calibri"/>
      <family val="2"/>
      <scheme val="minor"/>
    </font>
    <font>
      <sz val="10"/>
      <name val="Arial"/>
      <family val="2"/>
    </font>
    <font>
      <sz val="11"/>
      <name val="Century Gothic"/>
      <family val="2"/>
    </font>
    <font>
      <sz val="11"/>
      <color theme="1"/>
      <name val="Century Gothic"/>
      <family val="2"/>
    </font>
    <font>
      <b/>
      <sz val="11"/>
      <color theme="1"/>
      <name val="Century Gothic"/>
      <family val="2"/>
    </font>
    <font>
      <i/>
      <sz val="11"/>
      <color theme="1"/>
      <name val="Century Gothic"/>
      <family val="2"/>
    </font>
    <font>
      <b/>
      <sz val="14"/>
      <color theme="1"/>
      <name val="Century Gothic"/>
      <family val="2"/>
    </font>
    <font>
      <b/>
      <sz val="11"/>
      <color theme="0"/>
      <name val="Century Gothic"/>
      <family val="2"/>
    </font>
    <font>
      <b/>
      <sz val="14"/>
      <name val="Century Gothic"/>
      <family val="2"/>
    </font>
    <font>
      <b/>
      <sz val="11"/>
      <name val="Century Gothic"/>
      <family val="2"/>
    </font>
    <font>
      <b/>
      <i/>
      <sz val="11"/>
      <name val="Century Gothic"/>
      <family val="2"/>
    </font>
    <font>
      <i/>
      <sz val="11"/>
      <name val="Century Gothic"/>
      <family val="2"/>
    </font>
    <font>
      <b/>
      <u/>
      <sz val="11"/>
      <name val="Century Gothic"/>
      <family val="2"/>
    </font>
    <font>
      <u/>
      <sz val="11"/>
      <name val="Century Gothic"/>
      <family val="2"/>
    </font>
    <font>
      <b/>
      <sz val="14"/>
      <color indexed="60"/>
      <name val="Century Gothic"/>
      <family val="2"/>
    </font>
    <font>
      <sz val="14"/>
      <color theme="1"/>
      <name val="Century Gothic"/>
      <family val="2"/>
    </font>
    <font>
      <b/>
      <sz val="14"/>
      <color theme="1"/>
      <name val="Century Gothic"/>
      <family val="2"/>
    </font>
    <font>
      <sz val="11"/>
      <color theme="1"/>
      <name val="Century Gothic"/>
      <family val="2"/>
    </font>
    <font>
      <b/>
      <sz val="11"/>
      <color theme="1"/>
      <name val="Century Gothic"/>
      <family val="2"/>
    </font>
    <font>
      <i/>
      <sz val="11"/>
      <color rgb="FFFF0000"/>
      <name val="Century Gothic"/>
      <family val="2"/>
    </font>
    <font>
      <b/>
      <sz val="12"/>
      <name val="Arial"/>
      <family val="2"/>
    </font>
    <font>
      <b/>
      <sz val="10"/>
      <name val="Arial"/>
      <family val="2"/>
    </font>
    <font>
      <sz val="8"/>
      <name val="Arial"/>
      <family val="2"/>
    </font>
    <font>
      <i/>
      <sz val="10"/>
      <name val="Arial"/>
      <family val="2"/>
    </font>
    <font>
      <b/>
      <i/>
      <sz val="10"/>
      <name val="Arial"/>
      <family val="2"/>
    </font>
    <font>
      <i/>
      <sz val="11"/>
      <name val="Century Gothic"/>
      <family val="2"/>
    </font>
    <font>
      <sz val="11"/>
      <name val="Century Gothic"/>
      <family val="2"/>
    </font>
    <font>
      <sz val="11"/>
      <color rgb="FFFF0000"/>
      <name val="Calibri"/>
      <family val="2"/>
      <scheme val="minor"/>
    </font>
    <font>
      <sz val="12"/>
      <color theme="1"/>
      <name val="Century Gothic"/>
      <family val="1"/>
    </font>
    <font>
      <sz val="11"/>
      <color theme="1"/>
      <name val="Century Gothic"/>
      <family val="1"/>
    </font>
    <font>
      <b/>
      <sz val="9"/>
      <color indexed="81"/>
      <name val="Tahoma"/>
      <family val="2"/>
    </font>
    <font>
      <sz val="9"/>
      <color indexed="81"/>
      <name val="Tahoma"/>
      <family val="2"/>
    </font>
    <font>
      <b/>
      <sz val="10"/>
      <color theme="1"/>
      <name val="Century Gothic"/>
      <family val="2"/>
    </font>
    <font>
      <sz val="9"/>
      <color theme="1"/>
      <name val="Century Gothic"/>
      <family val="2"/>
    </font>
    <font>
      <b/>
      <sz val="20"/>
      <color rgb="FFFF0000"/>
      <name val="Century Gothic"/>
      <family val="2"/>
    </font>
    <font>
      <b/>
      <sz val="20"/>
      <color rgb="FFFF0000"/>
      <name val="Calibri"/>
      <family val="2"/>
      <scheme val="minor"/>
    </font>
    <font>
      <b/>
      <i/>
      <sz val="11"/>
      <color rgb="FFFF0000"/>
      <name val="Century Gothic"/>
      <family val="2"/>
    </font>
    <font>
      <b/>
      <i/>
      <sz val="11"/>
      <color theme="1"/>
      <name val="Century Gothic"/>
      <family val="2"/>
    </font>
    <font>
      <b/>
      <sz val="12"/>
      <color theme="1"/>
      <name val="Calibri"/>
      <family val="2"/>
      <scheme val="minor"/>
    </font>
    <font>
      <b/>
      <sz val="11"/>
      <color rgb="FFFF0000"/>
      <name val="Century Gothic"/>
      <family val="2"/>
    </font>
    <font>
      <sz val="11"/>
      <color rgb="FFFF0000"/>
      <name val="Century Gothic"/>
      <family val="2"/>
    </font>
    <font>
      <sz val="12"/>
      <color rgb="FFFF0000"/>
      <name val="Calibri"/>
      <family val="2"/>
      <scheme val="minor"/>
    </font>
    <font>
      <u/>
      <sz val="9"/>
      <color theme="1"/>
      <name val="Century Gothic"/>
      <family val="2"/>
    </font>
    <font>
      <b/>
      <sz val="9"/>
      <color theme="1"/>
      <name val="Verdana"/>
      <family val="2"/>
    </font>
    <font>
      <sz val="9"/>
      <color theme="1"/>
      <name val="Verdana"/>
      <family val="2"/>
    </font>
    <font>
      <b/>
      <sz val="11"/>
      <color rgb="FFFF0000"/>
      <name val="Calibri"/>
      <family val="2"/>
      <scheme val="minor"/>
    </font>
    <font>
      <sz val="10"/>
      <color theme="1"/>
      <name val="Century Gothic"/>
      <family val="1"/>
    </font>
    <font>
      <sz val="9"/>
      <color rgb="FFFF0000"/>
      <name val="Century Gothic"/>
      <family val="2"/>
    </font>
    <font>
      <b/>
      <sz val="10"/>
      <color rgb="FFFF0000"/>
      <name val="Century Gothic"/>
      <family val="2"/>
    </font>
    <font>
      <sz val="12"/>
      <color rgb="FFFF0000"/>
      <name val="Century Gothic"/>
      <family val="1"/>
    </font>
    <font>
      <b/>
      <sz val="10"/>
      <name val="Century Gothic"/>
      <family val="2"/>
    </font>
    <font>
      <b/>
      <i/>
      <sz val="11"/>
      <color theme="5"/>
      <name val="Century Gothic"/>
      <family val="2"/>
    </font>
    <font>
      <b/>
      <sz val="14"/>
      <color rgb="FFFF0000"/>
      <name val="Century Gothic"/>
      <family val="2"/>
    </font>
    <font>
      <sz val="9"/>
      <name val="Century Gothic"/>
      <family val="2"/>
    </font>
    <font>
      <sz val="8"/>
      <color theme="1"/>
      <name val="Century Gothic"/>
      <family val="2"/>
    </font>
    <font>
      <i/>
      <sz val="12"/>
      <color theme="1"/>
      <name val="Calibri"/>
      <family val="2"/>
      <scheme val="minor"/>
    </font>
    <font>
      <sz val="10"/>
      <name val="Century Gothic"/>
      <family val="2"/>
    </font>
    <font>
      <i/>
      <sz val="10"/>
      <color theme="1"/>
      <name val="Calibri"/>
      <family val="2"/>
      <scheme val="minor"/>
    </font>
  </fonts>
  <fills count="16">
    <fill>
      <patternFill patternType="none"/>
    </fill>
    <fill>
      <patternFill patternType="gray125"/>
    </fill>
    <fill>
      <patternFill patternType="solid">
        <fgColor theme="1"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indexed="2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FF3300"/>
        <bgColor indexed="64"/>
      </patternFill>
    </fill>
    <fill>
      <patternFill patternType="solid">
        <fgColor theme="6" tint="0.39997558519241921"/>
        <bgColor indexed="64"/>
      </patternFill>
    </fill>
  </fills>
  <borders count="52">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medium">
        <color auto="1"/>
      </left>
      <right/>
      <top/>
      <bottom/>
      <diagonal/>
    </border>
    <border>
      <left style="medium">
        <color auto="1"/>
      </left>
      <right/>
      <top/>
      <bottom style="medium">
        <color auto="1"/>
      </bottom>
      <diagonal/>
    </border>
    <border>
      <left style="thin">
        <color auto="1"/>
      </left>
      <right/>
      <top style="medium">
        <color auto="1"/>
      </top>
      <bottom style="medium">
        <color auto="1"/>
      </bottom>
      <diagonal/>
    </border>
    <border>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style="medium">
        <color auto="1"/>
      </bottom>
      <diagonal/>
    </border>
    <border>
      <left style="mediumDashed">
        <color auto="1"/>
      </left>
      <right style="mediumDashed">
        <color auto="1"/>
      </right>
      <top style="mediumDashed">
        <color auto="1"/>
      </top>
      <bottom style="mediumDashed">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medium">
        <color auto="1"/>
      </right>
      <top/>
      <bottom/>
      <diagonal/>
    </border>
    <border>
      <left style="thin">
        <color auto="1"/>
      </left>
      <right style="thin">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Dashed">
        <color auto="1"/>
      </left>
      <right/>
      <top style="mediumDashed">
        <color auto="1"/>
      </top>
      <bottom style="mediumDashed">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top/>
      <bottom style="thin">
        <color auto="1"/>
      </bottom>
      <diagonal/>
    </border>
    <border>
      <left style="thin">
        <color auto="1"/>
      </left>
      <right style="medium">
        <color indexed="64"/>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s>
  <cellStyleXfs count="5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3" fillId="0" borderId="0" applyFont="0" applyFill="0" applyBorder="0" applyAlignment="0" applyProtection="0"/>
    <xf numFmtId="164" fontId="4" fillId="0" borderId="0" applyFon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73" fontId="4" fillId="0" borderId="0" applyFont="0" applyFill="0" applyBorder="0" applyAlignment="0" applyProtection="0"/>
    <xf numFmtId="0" fontId="4" fillId="0" borderId="0"/>
    <xf numFmtId="0" fontId="1" fillId="0" borderId="0" applyNumberFormat="0" applyFill="0" applyBorder="0" applyAlignment="0" applyProtection="0"/>
  </cellStyleXfs>
  <cellXfs count="286">
    <xf numFmtId="0" fontId="0" fillId="0" borderId="0" xfId="0"/>
    <xf numFmtId="0" fontId="5" fillId="0" borderId="0" xfId="0" applyFont="1"/>
    <xf numFmtId="0" fontId="6" fillId="0" borderId="0" xfId="0" applyFont="1"/>
    <xf numFmtId="0" fontId="7" fillId="0" borderId="0" xfId="0" applyFont="1"/>
    <xf numFmtId="0" fontId="8" fillId="0" borderId="0" xfId="0" applyFont="1"/>
    <xf numFmtId="0" fontId="6" fillId="0" borderId="0" xfId="0" applyFont="1" applyAlignment="1">
      <alignment horizontal="center"/>
    </xf>
    <xf numFmtId="0" fontId="7" fillId="0" borderId="1" xfId="0" applyFont="1" applyBorder="1" applyAlignment="1">
      <alignment horizontal="left" vertical="center"/>
    </xf>
    <xf numFmtId="0" fontId="6" fillId="0" borderId="1" xfId="0" applyFont="1" applyBorder="1" applyAlignment="1">
      <alignment vertical="center"/>
    </xf>
    <xf numFmtId="0" fontId="7" fillId="0" borderId="1" xfId="0" applyFont="1" applyBorder="1" applyAlignment="1">
      <alignment horizontal="center" vertical="center" wrapText="1"/>
    </xf>
    <xf numFmtId="0" fontId="8" fillId="0" borderId="1" xfId="0" applyFont="1" applyBorder="1" applyAlignment="1">
      <alignment horizontal="center"/>
    </xf>
    <xf numFmtId="0" fontId="8" fillId="0" borderId="1" xfId="0" applyFont="1" applyBorder="1" applyAlignment="1">
      <alignment horizontal="center" wrapText="1"/>
    </xf>
    <xf numFmtId="0" fontId="6" fillId="3" borderId="6" xfId="0" applyFont="1" applyFill="1" applyBorder="1"/>
    <xf numFmtId="0" fontId="6" fillId="3" borderId="6" xfId="0" applyFont="1" applyFill="1" applyBorder="1" applyAlignment="1">
      <alignment horizontal="center"/>
    </xf>
    <xf numFmtId="0" fontId="6" fillId="0" borderId="6" xfId="0" applyFont="1" applyBorder="1" applyAlignment="1">
      <alignment horizontal="center"/>
    </xf>
    <xf numFmtId="165" fontId="6" fillId="0" borderId="1" xfId="0" applyNumberFormat="1" applyFont="1" applyBorder="1"/>
    <xf numFmtId="0" fontId="6" fillId="3" borderId="1" xfId="0" applyFont="1" applyFill="1" applyBorder="1"/>
    <xf numFmtId="0" fontId="6" fillId="3" borderId="1" xfId="0" applyFont="1" applyFill="1" applyBorder="1" applyAlignment="1">
      <alignment horizontal="center"/>
    </xf>
    <xf numFmtId="0" fontId="6" fillId="0" borderId="1" xfId="0" applyFont="1" applyBorder="1" applyAlignment="1">
      <alignment horizontal="center"/>
    </xf>
    <xf numFmtId="0" fontId="10" fillId="2" borderId="1" xfId="0" applyFont="1" applyFill="1" applyBorder="1" applyAlignment="1">
      <alignment horizontal="center"/>
    </xf>
    <xf numFmtId="0" fontId="10" fillId="2" borderId="1" xfId="0" applyFont="1" applyFill="1" applyBorder="1"/>
    <xf numFmtId="165" fontId="10" fillId="2" borderId="1" xfId="0" applyNumberFormat="1" applyFont="1" applyFill="1" applyBorder="1"/>
    <xf numFmtId="0" fontId="9" fillId="0" borderId="0" xfId="0" applyFont="1" applyAlignment="1">
      <alignment vertical="center"/>
    </xf>
    <xf numFmtId="0" fontId="6" fillId="0" borderId="6" xfId="0" applyFont="1" applyBorder="1"/>
    <xf numFmtId="0" fontId="6" fillId="0" borderId="1" xfId="0" applyFont="1" applyBorder="1"/>
    <xf numFmtId="0" fontId="6" fillId="0" borderId="1" xfId="0" applyFont="1" applyBorder="1" applyAlignment="1">
      <alignment wrapText="1"/>
    </xf>
    <xf numFmtId="0" fontId="7" fillId="0" borderId="0" xfId="0" applyFont="1" applyAlignment="1">
      <alignment horizontal="center" vertical="center" textRotation="255"/>
    </xf>
    <xf numFmtId="166" fontId="10" fillId="2" borderId="1" xfId="0" applyNumberFormat="1" applyFont="1" applyFill="1" applyBorder="1"/>
    <xf numFmtId="170" fontId="6" fillId="0" borderId="0" xfId="0" applyNumberFormat="1" applyFont="1"/>
    <xf numFmtId="0" fontId="7" fillId="0" borderId="0" xfId="0" applyFont="1" applyAlignment="1">
      <alignment horizontal="center" vertical="center" wrapText="1"/>
    </xf>
    <xf numFmtId="0" fontId="6" fillId="0" borderId="0" xfId="0" applyFont="1" applyAlignment="1">
      <alignment horizontal="center" vertical="center" wrapText="1"/>
    </xf>
    <xf numFmtId="170" fontId="6" fillId="0" borderId="0" xfId="0" applyNumberFormat="1" applyFont="1" applyAlignment="1">
      <alignment horizontal="center" vertical="center" wrapText="1"/>
    </xf>
    <xf numFmtId="170" fontId="6" fillId="7" borderId="1" xfId="0" applyNumberFormat="1" applyFont="1" applyFill="1" applyBorder="1" applyAlignment="1">
      <alignment horizontal="center" vertical="center" wrapText="1"/>
    </xf>
    <xf numFmtId="170" fontId="6" fillId="3" borderId="1" xfId="0" applyNumberFormat="1" applyFont="1" applyFill="1" applyBorder="1"/>
    <xf numFmtId="170" fontId="6" fillId="0" borderId="1" xfId="0" applyNumberFormat="1" applyFont="1" applyBorder="1"/>
    <xf numFmtId="0" fontId="7" fillId="7" borderId="1" xfId="0" applyFont="1" applyFill="1" applyBorder="1"/>
    <xf numFmtId="0" fontId="11" fillId="0" borderId="0" xfId="0" applyFont="1"/>
    <xf numFmtId="0" fontId="12" fillId="0" borderId="15" xfId="0" applyFont="1" applyBorder="1"/>
    <xf numFmtId="0" fontId="6" fillId="0" borderId="16" xfId="0" applyFont="1" applyBorder="1"/>
    <xf numFmtId="167" fontId="6" fillId="0" borderId="17" xfId="0" applyNumberFormat="1" applyFont="1" applyBorder="1"/>
    <xf numFmtId="0" fontId="12" fillId="0" borderId="7" xfId="0" applyFont="1" applyBorder="1"/>
    <xf numFmtId="167" fontId="6" fillId="0" borderId="10" xfId="0" applyNumberFormat="1" applyFont="1" applyBorder="1" applyProtection="1">
      <protection locked="0"/>
    </xf>
    <xf numFmtId="0" fontId="6" fillId="0" borderId="7" xfId="0" applyFont="1" applyBorder="1" applyAlignment="1">
      <alignment horizontal="left" indent="1"/>
    </xf>
    <xf numFmtId="0" fontId="13" fillId="0" borderId="8" xfId="0" applyFont="1" applyBorder="1" applyAlignment="1">
      <alignment horizontal="left"/>
    </xf>
    <xf numFmtId="0" fontId="6" fillId="0" borderId="14" xfId="0" applyFont="1" applyBorder="1"/>
    <xf numFmtId="167" fontId="6" fillId="0" borderId="18" xfId="0" applyNumberFormat="1" applyFont="1" applyBorder="1" applyProtection="1">
      <protection locked="0"/>
    </xf>
    <xf numFmtId="0" fontId="12" fillId="0" borderId="0" xfId="0" applyFont="1"/>
    <xf numFmtId="167" fontId="6" fillId="0" borderId="0" xfId="0" applyNumberFormat="1" applyFont="1"/>
    <xf numFmtId="164" fontId="6" fillId="9" borderId="1" xfId="42" applyFont="1" applyFill="1" applyBorder="1" applyProtection="1">
      <protection locked="0"/>
    </xf>
    <xf numFmtId="164" fontId="6" fillId="0" borderId="0" xfId="42" applyFont="1"/>
    <xf numFmtId="164" fontId="12" fillId="0" borderId="2" xfId="42" applyFont="1" applyBorder="1"/>
    <xf numFmtId="0" fontId="14" fillId="0" borderId="0" xfId="0" applyFont="1"/>
    <xf numFmtId="167" fontId="13" fillId="0" borderId="0" xfId="0" applyNumberFormat="1" applyFont="1" applyAlignment="1">
      <alignment horizontal="left"/>
    </xf>
    <xf numFmtId="164" fontId="12" fillId="0" borderId="1" xfId="42" applyFont="1" applyBorder="1"/>
    <xf numFmtId="0" fontId="5" fillId="0" borderId="0" xfId="0" applyFont="1" applyAlignment="1">
      <alignment vertical="top"/>
    </xf>
    <xf numFmtId="0" fontId="5" fillId="0" borderId="0" xfId="0" applyFont="1" applyAlignment="1">
      <alignment horizontal="right" vertical="top"/>
    </xf>
    <xf numFmtId="164" fontId="6" fillId="0" borderId="0" xfId="42" applyFont="1" applyBorder="1"/>
    <xf numFmtId="164" fontId="5" fillId="0" borderId="2" xfId="42" applyFont="1" applyBorder="1"/>
    <xf numFmtId="0" fontId="15" fillId="0" borderId="0" xfId="0" applyFont="1"/>
    <xf numFmtId="164" fontId="6" fillId="0" borderId="0" xfId="42" applyFont="1" applyFill="1" applyBorder="1"/>
    <xf numFmtId="3" fontId="6" fillId="0" borderId="0" xfId="0" applyNumberFormat="1" applyFont="1"/>
    <xf numFmtId="0" fontId="5" fillId="0" borderId="0" xfId="0" applyFont="1" applyAlignment="1">
      <alignment horizontal="left" wrapText="1"/>
    </xf>
    <xf numFmtId="9" fontId="6" fillId="0" borderId="0" xfId="41" applyFont="1" applyBorder="1"/>
    <xf numFmtId="0" fontId="6" fillId="0" borderId="0" xfId="0" applyFont="1" applyAlignment="1">
      <alignment horizontal="left" wrapText="1"/>
    </xf>
    <xf numFmtId="164" fontId="12" fillId="0" borderId="0" xfId="42" applyFont="1" applyBorder="1"/>
    <xf numFmtId="0" fontId="12" fillId="6" borderId="0" xfId="0" applyFont="1" applyFill="1"/>
    <xf numFmtId="168" fontId="5" fillId="6" borderId="0" xfId="41" applyNumberFormat="1" applyFont="1" applyFill="1" applyBorder="1"/>
    <xf numFmtId="0" fontId="14" fillId="0" borderId="0" xfId="0" applyFont="1" applyAlignment="1">
      <alignment horizontal="right"/>
    </xf>
    <xf numFmtId="164" fontId="14" fillId="0" borderId="0" xfId="42" applyFont="1" applyFill="1" applyAlignment="1">
      <alignment horizontal="left"/>
    </xf>
    <xf numFmtId="0" fontId="5" fillId="6" borderId="0" xfId="0" applyFont="1" applyFill="1"/>
    <xf numFmtId="0" fontId="15" fillId="6" borderId="0" xfId="0" applyFont="1" applyFill="1"/>
    <xf numFmtId="167" fontId="5" fillId="6" borderId="0" xfId="0" applyNumberFormat="1" applyFont="1" applyFill="1"/>
    <xf numFmtId="164" fontId="12" fillId="6" borderId="2" xfId="42" applyFont="1" applyFill="1" applyBorder="1"/>
    <xf numFmtId="0" fontId="16" fillId="6" borderId="0" xfId="0" applyFont="1" applyFill="1"/>
    <xf numFmtId="164" fontId="5" fillId="6" borderId="0" xfId="42" applyFont="1" applyFill="1" applyBorder="1"/>
    <xf numFmtId="0" fontId="6" fillId="0" borderId="0" xfId="0" quotePrefix="1" applyFont="1"/>
    <xf numFmtId="0" fontId="12" fillId="0" borderId="0" xfId="0" applyFont="1" applyAlignment="1">
      <alignment horizontal="left" wrapText="1"/>
    </xf>
    <xf numFmtId="9" fontId="5" fillId="0" borderId="0" xfId="41" applyFont="1"/>
    <xf numFmtId="0" fontId="12" fillId="7" borderId="0" xfId="0" applyFont="1" applyFill="1"/>
    <xf numFmtId="0" fontId="6" fillId="7" borderId="0" xfId="0" applyFont="1" applyFill="1"/>
    <xf numFmtId="164" fontId="12" fillId="7" borderId="2" xfId="42" applyFont="1" applyFill="1" applyBorder="1"/>
    <xf numFmtId="0" fontId="13" fillId="0" borderId="0" xfId="0" applyFont="1"/>
    <xf numFmtId="0" fontId="17" fillId="0" borderId="0" xfId="0" applyFont="1" applyAlignment="1">
      <alignment horizontal="left" vertical="center"/>
    </xf>
    <xf numFmtId="0" fontId="18" fillId="0" borderId="0" xfId="0" applyFont="1"/>
    <xf numFmtId="0" fontId="6" fillId="0" borderId="0" xfId="0" applyFont="1" applyAlignment="1">
      <alignment vertical="center"/>
    </xf>
    <xf numFmtId="0" fontId="6" fillId="0" borderId="0" xfId="0" applyFont="1" applyAlignment="1">
      <alignment vertical="center" wrapText="1"/>
    </xf>
    <xf numFmtId="0" fontId="8" fillId="0" borderId="0" xfId="0" applyFont="1" applyAlignment="1">
      <alignment vertical="center"/>
    </xf>
    <xf numFmtId="165" fontId="6" fillId="0" borderId="0" xfId="0" applyNumberFormat="1" applyFont="1" applyAlignment="1">
      <alignment vertical="center"/>
    </xf>
    <xf numFmtId="0" fontId="6" fillId="3" borderId="0" xfId="0" applyFont="1" applyFill="1" applyAlignment="1">
      <alignment vertical="center"/>
    </xf>
    <xf numFmtId="0" fontId="7" fillId="0" borderId="0" xfId="0" applyFont="1" applyAlignment="1">
      <alignment vertical="center"/>
    </xf>
    <xf numFmtId="9" fontId="6" fillId="3" borderId="14" xfId="0" applyNumberFormat="1" applyFont="1" applyFill="1" applyBorder="1" applyAlignment="1">
      <alignment vertical="center"/>
    </xf>
    <xf numFmtId="0" fontId="7" fillId="3" borderId="0" xfId="0" applyFont="1" applyFill="1" applyAlignment="1">
      <alignment vertical="center"/>
    </xf>
    <xf numFmtId="0" fontId="7" fillId="0" borderId="0" xfId="0" applyFont="1" applyAlignment="1">
      <alignment vertical="center" wrapText="1"/>
    </xf>
    <xf numFmtId="9" fontId="6" fillId="0" borderId="0" xfId="0" applyNumberFormat="1" applyFont="1" applyAlignment="1">
      <alignment vertical="center"/>
    </xf>
    <xf numFmtId="9" fontId="7" fillId="3" borderId="0" xfId="0" applyNumberFormat="1" applyFont="1" applyFill="1" applyAlignment="1">
      <alignment vertical="center"/>
    </xf>
    <xf numFmtId="1" fontId="8" fillId="0" borderId="0" xfId="0" applyNumberFormat="1" applyFont="1"/>
    <xf numFmtId="1" fontId="7" fillId="0" borderId="0" xfId="0" applyNumberFormat="1" applyFont="1"/>
    <xf numFmtId="1" fontId="6" fillId="0" borderId="0" xfId="0" applyNumberFormat="1" applyFont="1"/>
    <xf numFmtId="170" fontId="6" fillId="0" borderId="0" xfId="0" applyNumberFormat="1" applyFont="1" applyAlignment="1">
      <alignment horizontal="center"/>
    </xf>
    <xf numFmtId="165" fontId="6" fillId="0" borderId="0" xfId="0" applyNumberFormat="1" applyFont="1" applyAlignment="1">
      <alignment horizontal="center"/>
    </xf>
    <xf numFmtId="0" fontId="7" fillId="0" borderId="0" xfId="0" applyFont="1" applyAlignment="1">
      <alignment horizontal="left" vertical="center"/>
    </xf>
    <xf numFmtId="0" fontId="6" fillId="0" borderId="0" xfId="0" applyFont="1" applyAlignment="1">
      <alignment horizontal="left"/>
    </xf>
    <xf numFmtId="1" fontId="7" fillId="7" borderId="1" xfId="0" applyNumberFormat="1" applyFont="1" applyFill="1" applyBorder="1"/>
    <xf numFmtId="0" fontId="7" fillId="0" borderId="1" xfId="0" applyFont="1" applyBorder="1"/>
    <xf numFmtId="1" fontId="7" fillId="0" borderId="1" xfId="0" applyNumberFormat="1" applyFont="1" applyBorder="1"/>
    <xf numFmtId="0" fontId="19" fillId="0" borderId="0" xfId="0" applyFont="1"/>
    <xf numFmtId="170" fontId="20" fillId="3" borderId="1" xfId="0" applyNumberFormat="1" applyFont="1" applyFill="1" applyBorder="1"/>
    <xf numFmtId="0" fontId="22" fillId="0" borderId="0" xfId="0" applyFont="1"/>
    <xf numFmtId="0" fontId="6" fillId="3" borderId="1" xfId="0" applyFont="1" applyFill="1" applyBorder="1" applyAlignment="1">
      <alignment horizontal="left"/>
    </xf>
    <xf numFmtId="164" fontId="12" fillId="0" borderId="24" xfId="42" applyFont="1" applyBorder="1"/>
    <xf numFmtId="164" fontId="12" fillId="0" borderId="25" xfId="42" applyFont="1" applyBorder="1"/>
    <xf numFmtId="164" fontId="6" fillId="0" borderId="26" xfId="42" applyFont="1" applyBorder="1"/>
    <xf numFmtId="164" fontId="6" fillId="4" borderId="26" xfId="42" applyFont="1" applyFill="1" applyBorder="1" applyProtection="1">
      <protection locked="0"/>
    </xf>
    <xf numFmtId="164" fontId="6" fillId="5" borderId="26" xfId="42" applyFont="1" applyFill="1" applyBorder="1" applyProtection="1">
      <protection locked="0"/>
    </xf>
    <xf numFmtId="164" fontId="6" fillId="5" borderId="27" xfId="42" applyFont="1" applyFill="1" applyBorder="1" applyProtection="1">
      <protection locked="0"/>
    </xf>
    <xf numFmtId="172" fontId="6" fillId="3" borderId="0" xfId="0" applyNumberFormat="1" applyFont="1" applyFill="1" applyAlignment="1">
      <alignment vertical="center"/>
    </xf>
    <xf numFmtId="172" fontId="6" fillId="0" borderId="0" xfId="0" applyNumberFormat="1" applyFont="1" applyAlignment="1">
      <alignment vertical="center"/>
    </xf>
    <xf numFmtId="172" fontId="6" fillId="0" borderId="14" xfId="0" applyNumberFormat="1" applyFont="1" applyBorder="1" applyAlignment="1">
      <alignment vertical="center"/>
    </xf>
    <xf numFmtId="0" fontId="23" fillId="0" borderId="0" xfId="0" applyFont="1"/>
    <xf numFmtId="0" fontId="25" fillId="0" borderId="0" xfId="0" applyFont="1" applyAlignment="1">
      <alignment vertical="top"/>
    </xf>
    <xf numFmtId="0" fontId="25" fillId="0" borderId="0" xfId="0" applyFont="1" applyAlignment="1">
      <alignment horizontal="right" vertical="top"/>
    </xf>
    <xf numFmtId="9" fontId="6" fillId="0" borderId="28" xfId="41" applyFont="1" applyBorder="1"/>
    <xf numFmtId="164" fontId="0" fillId="0" borderId="26" xfId="42" applyFont="1" applyFill="1" applyBorder="1"/>
    <xf numFmtId="164" fontId="0" fillId="0" borderId="30" xfId="42" applyFont="1" applyFill="1" applyBorder="1"/>
    <xf numFmtId="164" fontId="0" fillId="0" borderId="29" xfId="42" applyFont="1" applyFill="1" applyBorder="1"/>
    <xf numFmtId="9" fontId="4" fillId="6" borderId="19" xfId="41" applyFont="1" applyFill="1" applyBorder="1"/>
    <xf numFmtId="0" fontId="27" fillId="6" borderId="0" xfId="0" applyFont="1" applyFill="1"/>
    <xf numFmtId="0" fontId="0" fillId="6" borderId="0" xfId="0" applyFill="1"/>
    <xf numFmtId="167" fontId="0" fillId="6" borderId="0" xfId="0" applyNumberFormat="1" applyFill="1"/>
    <xf numFmtId="0" fontId="0" fillId="6" borderId="0" xfId="0" applyFill="1" applyAlignment="1">
      <alignment wrapText="1"/>
    </xf>
    <xf numFmtId="164" fontId="4" fillId="6" borderId="1" xfId="42" applyFont="1" applyFill="1" applyBorder="1"/>
    <xf numFmtId="164" fontId="24" fillId="6" borderId="2" xfId="42" applyFont="1" applyFill="1" applyBorder="1"/>
    <xf numFmtId="9" fontId="0" fillId="8" borderId="19" xfId="41" applyFont="1" applyFill="1" applyBorder="1" applyProtection="1">
      <protection locked="0"/>
    </xf>
    <xf numFmtId="0" fontId="29" fillId="0" borderId="0" xfId="0" applyFont="1"/>
    <xf numFmtId="164" fontId="4" fillId="8" borderId="1" xfId="42" applyFont="1" applyFill="1" applyBorder="1" applyProtection="1">
      <protection locked="0"/>
    </xf>
    <xf numFmtId="167" fontId="28" fillId="0" borderId="0" xfId="0" applyNumberFormat="1" applyFont="1" applyAlignment="1">
      <alignment horizontal="center"/>
    </xf>
    <xf numFmtId="169" fontId="26" fillId="0" borderId="0" xfId="0" applyNumberFormat="1" applyFont="1" applyAlignment="1">
      <alignment horizontal="center"/>
    </xf>
    <xf numFmtId="172" fontId="21" fillId="0" borderId="0" xfId="0" applyNumberFormat="1" applyFont="1" applyAlignment="1">
      <alignment vertical="center"/>
    </xf>
    <xf numFmtId="0" fontId="7" fillId="0" borderId="15" xfId="0" applyFont="1" applyBorder="1" applyAlignment="1">
      <alignment vertical="center"/>
    </xf>
    <xf numFmtId="172" fontId="21" fillId="0" borderId="16" xfId="0" applyNumberFormat="1" applyFont="1" applyBorder="1" applyAlignment="1">
      <alignment vertical="center"/>
    </xf>
    <xf numFmtId="0" fontId="6" fillId="0" borderId="16" xfId="0" applyFont="1" applyBorder="1" applyAlignment="1">
      <alignment vertical="center"/>
    </xf>
    <xf numFmtId="0" fontId="6" fillId="0" borderId="17" xfId="0" applyFont="1" applyBorder="1" applyAlignment="1">
      <alignment vertical="center" wrapText="1"/>
    </xf>
    <xf numFmtId="0" fontId="6" fillId="0" borderId="8" xfId="0" applyFont="1" applyBorder="1" applyAlignment="1">
      <alignment vertical="center"/>
    </xf>
    <xf numFmtId="0" fontId="6" fillId="0" borderId="18" xfId="0" applyFont="1" applyBorder="1" applyAlignment="1">
      <alignment vertical="center" wrapText="1"/>
    </xf>
    <xf numFmtId="171" fontId="6" fillId="10" borderId="1" xfId="0" applyNumberFormat="1" applyFont="1" applyFill="1" applyBorder="1" applyAlignment="1">
      <alignment horizontal="center"/>
    </xf>
    <xf numFmtId="170" fontId="6" fillId="10" borderId="1" xfId="0" applyNumberFormat="1" applyFont="1" applyFill="1" applyBorder="1"/>
    <xf numFmtId="0" fontId="6" fillId="10" borderId="1" xfId="0" applyFont="1" applyFill="1" applyBorder="1"/>
    <xf numFmtId="49" fontId="32" fillId="13" borderId="2" xfId="0" applyNumberFormat="1" applyFont="1" applyFill="1" applyBorder="1" applyAlignment="1">
      <alignment horizontal="center"/>
    </xf>
    <xf numFmtId="0" fontId="35" fillId="0" borderId="1" xfId="0" applyFont="1" applyBorder="1" applyAlignment="1">
      <alignment horizontal="center" vertical="center" wrapText="1"/>
    </xf>
    <xf numFmtId="0" fontId="36" fillId="0" borderId="0" xfId="0" applyFont="1" applyAlignment="1">
      <alignment horizontal="center" wrapText="1"/>
    </xf>
    <xf numFmtId="0" fontId="6" fillId="0" borderId="0" xfId="0" applyFont="1" applyAlignment="1">
      <alignment wrapText="1"/>
    </xf>
    <xf numFmtId="0" fontId="36" fillId="0" borderId="0" xfId="0" applyFont="1"/>
    <xf numFmtId="0" fontId="46" fillId="0" borderId="0" xfId="0" applyFont="1"/>
    <xf numFmtId="0" fontId="47" fillId="0" borderId="0" xfId="0" applyFont="1" applyAlignment="1">
      <alignment wrapText="1"/>
    </xf>
    <xf numFmtId="0" fontId="47" fillId="0" borderId="0" xfId="0" applyFont="1"/>
    <xf numFmtId="49" fontId="32" fillId="3" borderId="1" xfId="0" applyNumberFormat="1" applyFont="1" applyFill="1" applyBorder="1" applyAlignment="1">
      <alignment horizontal="center"/>
    </xf>
    <xf numFmtId="2" fontId="32" fillId="0" borderId="1" xfId="0" applyNumberFormat="1" applyFont="1" applyBorder="1" applyAlignment="1">
      <alignment horizontal="center"/>
    </xf>
    <xf numFmtId="2" fontId="31" fillId="0" borderId="1" xfId="0" applyNumberFormat="1" applyFont="1" applyBorder="1" applyAlignment="1">
      <alignment horizontal="center"/>
    </xf>
    <xf numFmtId="2" fontId="31" fillId="13" borderId="2" xfId="0" applyNumberFormat="1" applyFont="1" applyFill="1" applyBorder="1" applyAlignment="1">
      <alignment horizontal="center"/>
    </xf>
    <xf numFmtId="2" fontId="0" fillId="0" borderId="0" xfId="0" applyNumberFormat="1"/>
    <xf numFmtId="171" fontId="6" fillId="3" borderId="1" xfId="0" applyNumberFormat="1" applyFont="1" applyFill="1" applyBorder="1" applyAlignment="1">
      <alignment horizontal="center"/>
    </xf>
    <xf numFmtId="0" fontId="6" fillId="0" borderId="1" xfId="0" applyFont="1" applyBorder="1" applyAlignment="1" applyProtection="1">
      <alignment horizontal="center"/>
      <protection locked="0"/>
    </xf>
    <xf numFmtId="0" fontId="7" fillId="3" borderId="20" xfId="0" applyFont="1" applyFill="1" applyBorder="1" applyAlignment="1" applyProtection="1">
      <alignment horizontal="center" vertical="center" wrapText="1"/>
      <protection locked="0"/>
    </xf>
    <xf numFmtId="0" fontId="7" fillId="3" borderId="31" xfId="0" applyFont="1" applyFill="1" applyBorder="1" applyAlignment="1" applyProtection="1">
      <alignment horizontal="center" vertical="center" wrapText="1"/>
      <protection locked="0"/>
    </xf>
    <xf numFmtId="171" fontId="6" fillId="14" borderId="1" xfId="0" applyNumberFormat="1" applyFont="1" applyFill="1" applyBorder="1" applyAlignment="1">
      <alignment horizontal="center" vertical="center" wrapText="1"/>
    </xf>
    <xf numFmtId="0" fontId="50" fillId="0" borderId="0" xfId="0" applyFont="1" applyAlignment="1">
      <alignment vertical="top"/>
    </xf>
    <xf numFmtId="0" fontId="53" fillId="0" borderId="1" xfId="0" applyFont="1" applyBorder="1" applyAlignment="1">
      <alignment horizontal="center" vertical="center" wrapText="1"/>
    </xf>
    <xf numFmtId="0" fontId="55" fillId="0" borderId="0" xfId="0" quotePrefix="1" applyFont="1" applyAlignment="1">
      <alignment horizontal="right" vertical="center"/>
    </xf>
    <xf numFmtId="0" fontId="56" fillId="0" borderId="0" xfId="0" applyFont="1"/>
    <xf numFmtId="168" fontId="0" fillId="0" borderId="19" xfId="41" applyNumberFormat="1" applyFont="1" applyFill="1" applyBorder="1"/>
    <xf numFmtId="174" fontId="6" fillId="0" borderId="1" xfId="0" applyNumberFormat="1" applyFont="1" applyBorder="1"/>
    <xf numFmtId="174" fontId="10" fillId="2" borderId="1" xfId="0" applyNumberFormat="1" applyFont="1" applyFill="1" applyBorder="1"/>
    <xf numFmtId="175" fontId="6" fillId="0" borderId="6" xfId="0" applyNumberFormat="1" applyFont="1" applyBorder="1"/>
    <xf numFmtId="175" fontId="6" fillId="0" borderId="1" xfId="0" applyNumberFormat="1" applyFont="1" applyBorder="1"/>
    <xf numFmtId="175" fontId="10" fillId="2" borderId="1" xfId="0" applyNumberFormat="1" applyFont="1" applyFill="1" applyBorder="1"/>
    <xf numFmtId="0" fontId="6" fillId="3" borderId="1" xfId="0" applyFont="1" applyFill="1" applyBorder="1" applyAlignment="1">
      <alignment wrapText="1"/>
    </xf>
    <xf numFmtId="174" fontId="6" fillId="0" borderId="6" xfId="0" applyNumberFormat="1" applyFont="1" applyBorder="1"/>
    <xf numFmtId="174" fontId="6" fillId="3" borderId="6" xfId="0" applyNumberFormat="1" applyFont="1" applyFill="1" applyBorder="1"/>
    <xf numFmtId="174" fontId="6" fillId="3" borderId="1" xfId="0" applyNumberFormat="1" applyFont="1" applyFill="1" applyBorder="1"/>
    <xf numFmtId="0" fontId="36" fillId="0" borderId="0" xfId="0" applyFont="1" applyAlignment="1">
      <alignment wrapText="1"/>
    </xf>
    <xf numFmtId="174" fontId="21" fillId="3" borderId="21" xfId="0" applyNumberFormat="1" applyFont="1" applyFill="1" applyBorder="1" applyAlignment="1" applyProtection="1">
      <alignment horizontal="center" vertical="center" wrapText="1"/>
      <protection locked="0"/>
    </xf>
    <xf numFmtId="174" fontId="20" fillId="3" borderId="1" xfId="0" applyNumberFormat="1" applyFont="1" applyFill="1" applyBorder="1"/>
    <xf numFmtId="174" fontId="7" fillId="3" borderId="32" xfId="0" applyNumberFormat="1" applyFont="1" applyFill="1" applyBorder="1" applyAlignment="1" applyProtection="1">
      <alignment horizontal="center" vertical="center" wrapText="1"/>
      <protection locked="0"/>
    </xf>
    <xf numFmtId="0" fontId="35" fillId="0" borderId="1" xfId="0" applyFont="1" applyBorder="1" applyAlignment="1">
      <alignment horizontal="left" vertical="center" wrapText="1"/>
    </xf>
    <xf numFmtId="170" fontId="35" fillId="0" borderId="1" xfId="0" applyNumberFormat="1" applyFont="1" applyBorder="1" applyAlignment="1">
      <alignment horizontal="center" vertical="center" wrapText="1"/>
    </xf>
    <xf numFmtId="9" fontId="6" fillId="3" borderId="1" xfId="0" applyNumberFormat="1" applyFont="1" applyFill="1" applyBorder="1"/>
    <xf numFmtId="174" fontId="6" fillId="3" borderId="1" xfId="0" applyNumberFormat="1" applyFont="1" applyFill="1" applyBorder="1" applyAlignment="1">
      <alignment horizontal="center"/>
    </xf>
    <xf numFmtId="174" fontId="6" fillId="10" borderId="6" xfId="0" applyNumberFormat="1" applyFont="1" applyFill="1" applyBorder="1" applyAlignment="1">
      <alignment horizontal="center"/>
    </xf>
    <xf numFmtId="0" fontId="42" fillId="0" borderId="0" xfId="0" applyFont="1" applyAlignment="1">
      <alignment horizontal="center"/>
    </xf>
    <xf numFmtId="174" fontId="6" fillId="15" borderId="1" xfId="0" applyNumberFormat="1" applyFont="1" applyFill="1" applyBorder="1"/>
    <xf numFmtId="0" fontId="6" fillId="15" borderId="0" xfId="0" applyFont="1" applyFill="1" applyAlignment="1">
      <alignment vertical="center" wrapText="1"/>
    </xf>
    <xf numFmtId="0" fontId="7" fillId="0" borderId="3" xfId="0" applyFont="1" applyBorder="1" applyAlignment="1">
      <alignment horizontal="center" vertical="center"/>
    </xf>
    <xf numFmtId="0" fontId="6" fillId="0" borderId="4" xfId="0" applyFont="1" applyBorder="1" applyAlignment="1">
      <alignment vertical="center"/>
    </xf>
    <xf numFmtId="0" fontId="6" fillId="0" borderId="9" xfId="0" applyFont="1" applyBorder="1" applyAlignment="1">
      <alignment horizontal="center" vertical="center" wrapText="1"/>
    </xf>
    <xf numFmtId="0" fontId="7" fillId="0" borderId="5" xfId="0" applyFont="1" applyBorder="1" applyAlignment="1">
      <alignment horizontal="center" vertical="center" wrapText="1"/>
    </xf>
    <xf numFmtId="0" fontId="19" fillId="10" borderId="0" xfId="0" applyFont="1" applyFill="1"/>
    <xf numFmtId="174" fontId="20" fillId="10" borderId="0" xfId="0" applyNumberFormat="1" applyFont="1" applyFill="1"/>
    <xf numFmtId="170" fontId="20" fillId="10" borderId="0" xfId="0" applyNumberFormat="1" applyFont="1" applyFill="1"/>
    <xf numFmtId="174" fontId="54" fillId="10" borderId="0" xfId="0" applyNumberFormat="1" applyFont="1" applyFill="1"/>
    <xf numFmtId="0" fontId="20" fillId="10" borderId="0" xfId="0" applyFont="1" applyFill="1"/>
    <xf numFmtId="0" fontId="21" fillId="10" borderId="0" xfId="0" applyFont="1" applyFill="1" applyAlignment="1">
      <alignment horizontal="center" vertical="center" wrapText="1"/>
    </xf>
    <xf numFmtId="170" fontId="21" fillId="10" borderId="23" xfId="0" applyNumberFormat="1" applyFont="1" applyFill="1" applyBorder="1" applyAlignment="1">
      <alignment horizontal="center" vertical="center" wrapText="1"/>
    </xf>
    <xf numFmtId="174" fontId="21" fillId="10" borderId="23" xfId="0" applyNumberFormat="1" applyFont="1" applyFill="1" applyBorder="1" applyAlignment="1">
      <alignment horizontal="center" vertical="center" wrapText="1"/>
    </xf>
    <xf numFmtId="0" fontId="20" fillId="10" borderId="0" xfId="0" applyFont="1" applyFill="1" applyAlignment="1">
      <alignment horizontal="center" vertical="center" wrapText="1"/>
    </xf>
    <xf numFmtId="170" fontId="20" fillId="10" borderId="1" xfId="0" applyNumberFormat="1" applyFont="1" applyFill="1" applyBorder="1" applyAlignment="1">
      <alignment horizontal="center" vertical="center" wrapText="1"/>
    </xf>
    <xf numFmtId="174" fontId="20" fillId="10" borderId="1" xfId="0" applyNumberFormat="1" applyFont="1" applyFill="1" applyBorder="1" applyAlignment="1">
      <alignment horizontal="center" vertical="center" wrapText="1"/>
    </xf>
    <xf numFmtId="170" fontId="20" fillId="10" borderId="0" xfId="0" applyNumberFormat="1" applyFont="1" applyFill="1" applyAlignment="1">
      <alignment horizontal="center" vertical="center" wrapText="1"/>
    </xf>
    <xf numFmtId="0" fontId="6" fillId="0" borderId="29" xfId="0" applyFont="1" applyBorder="1" applyAlignment="1">
      <alignment horizontal="center" vertical="center" wrapText="1"/>
    </xf>
    <xf numFmtId="9" fontId="6" fillId="0" borderId="26" xfId="0" applyNumberFormat="1" applyFont="1" applyBorder="1"/>
    <xf numFmtId="9" fontId="6" fillId="0" borderId="30" xfId="0" applyNumberFormat="1" applyFont="1" applyBorder="1"/>
    <xf numFmtId="0" fontId="9" fillId="0" borderId="0" xfId="0" applyFont="1" applyAlignment="1">
      <alignment horizontal="center" vertical="center"/>
    </xf>
    <xf numFmtId="49" fontId="32" fillId="3" borderId="34" xfId="0" applyNumberFormat="1" applyFont="1" applyFill="1" applyBorder="1" applyAlignment="1">
      <alignment horizontal="center"/>
    </xf>
    <xf numFmtId="2" fontId="32" fillId="0" borderId="34" xfId="0" applyNumberFormat="1" applyFont="1" applyBorder="1" applyAlignment="1">
      <alignment horizontal="center"/>
    </xf>
    <xf numFmtId="2" fontId="31" fillId="0" borderId="34" xfId="0" applyNumberFormat="1" applyFont="1" applyBorder="1" applyAlignment="1">
      <alignment horizontal="center"/>
    </xf>
    <xf numFmtId="0" fontId="32" fillId="0" borderId="39" xfId="0" applyFont="1" applyBorder="1" applyAlignment="1">
      <alignment horizontal="center"/>
    </xf>
    <xf numFmtId="0" fontId="32" fillId="0" borderId="40" xfId="0" applyFont="1" applyBorder="1" applyAlignment="1">
      <alignment horizontal="center"/>
    </xf>
    <xf numFmtId="2" fontId="32" fillId="3" borderId="33" xfId="0" applyNumberFormat="1" applyFont="1" applyFill="1" applyBorder="1" applyAlignment="1">
      <alignment horizontal="center"/>
    </xf>
    <xf numFmtId="2" fontId="32" fillId="3" borderId="36" xfId="0" applyNumberFormat="1" applyFont="1" applyFill="1" applyBorder="1" applyAlignment="1">
      <alignment horizontal="center"/>
    </xf>
    <xf numFmtId="49" fontId="32" fillId="11" borderId="45" xfId="0" applyNumberFormat="1" applyFont="1" applyFill="1" applyBorder="1" applyAlignment="1">
      <alignment horizontal="center"/>
    </xf>
    <xf numFmtId="2" fontId="52" fillId="3" borderId="46" xfId="0" applyNumberFormat="1" applyFont="1" applyFill="1" applyBorder="1" applyAlignment="1">
      <alignment horizontal="center"/>
    </xf>
    <xf numFmtId="0" fontId="32" fillId="0" borderId="41" xfId="0" applyFont="1" applyBorder="1" applyAlignment="1">
      <alignment horizontal="center"/>
    </xf>
    <xf numFmtId="2" fontId="32" fillId="3" borderId="37" xfId="0" applyNumberFormat="1" applyFont="1" applyFill="1" applyBorder="1" applyAlignment="1">
      <alignment horizontal="center"/>
    </xf>
    <xf numFmtId="49" fontId="32" fillId="3" borderId="38" xfId="0" applyNumberFormat="1" applyFont="1" applyFill="1" applyBorder="1" applyAlignment="1">
      <alignment horizontal="center"/>
    </xf>
    <xf numFmtId="2" fontId="32" fillId="0" borderId="38" xfId="0" applyNumberFormat="1" applyFont="1" applyBorder="1" applyAlignment="1">
      <alignment horizontal="center"/>
    </xf>
    <xf numFmtId="2" fontId="31" fillId="0" borderId="38" xfId="0" applyNumberFormat="1" applyFont="1" applyBorder="1" applyAlignment="1">
      <alignment horizontal="center"/>
    </xf>
    <xf numFmtId="49" fontId="32" fillId="13" borderId="25" xfId="0" applyNumberFormat="1" applyFont="1" applyFill="1" applyBorder="1" applyAlignment="1">
      <alignment horizontal="center"/>
    </xf>
    <xf numFmtId="0" fontId="0" fillId="10" borderId="0" xfId="0" applyFill="1"/>
    <xf numFmtId="2" fontId="0" fillId="10" borderId="0" xfId="0" applyNumberFormat="1" applyFill="1"/>
    <xf numFmtId="0" fontId="31" fillId="10" borderId="0" xfId="0" applyFont="1" applyFill="1"/>
    <xf numFmtId="2" fontId="31" fillId="10" borderId="0" xfId="0" applyNumberFormat="1" applyFont="1" applyFill="1"/>
    <xf numFmtId="0" fontId="51" fillId="10" borderId="0" xfId="0" applyFont="1" applyFill="1"/>
    <xf numFmtId="0" fontId="44" fillId="10" borderId="0" xfId="0" applyFont="1" applyFill="1"/>
    <xf numFmtId="0" fontId="52" fillId="10" borderId="0" xfId="0" applyFont="1" applyFill="1"/>
    <xf numFmtId="0" fontId="58" fillId="10" borderId="0" xfId="0" quotePrefix="1" applyFont="1" applyFill="1"/>
    <xf numFmtId="0" fontId="49" fillId="0" borderId="42" xfId="0" applyFont="1" applyBorder="1" applyAlignment="1">
      <alignment horizontal="center" vertical="center" wrapText="1" shrinkToFit="1"/>
    </xf>
    <xf numFmtId="0" fontId="49" fillId="0" borderId="43" xfId="0" applyFont="1" applyBorder="1" applyAlignment="1">
      <alignment horizontal="center" vertical="center" wrapText="1" shrinkToFit="1"/>
    </xf>
    <xf numFmtId="0" fontId="49" fillId="0" borderId="44" xfId="0" applyFont="1" applyBorder="1" applyAlignment="1">
      <alignment horizontal="center" vertical="center" wrapText="1" shrinkToFit="1"/>
    </xf>
    <xf numFmtId="174" fontId="6" fillId="0" borderId="0" xfId="0" applyNumberFormat="1" applyFont="1" applyAlignment="1">
      <alignment horizontal="center" wrapText="1"/>
    </xf>
    <xf numFmtId="174" fontId="6" fillId="0" borderId="0" xfId="0" quotePrefix="1" applyNumberFormat="1" applyFont="1" applyAlignment="1">
      <alignment horizontal="center" wrapText="1"/>
    </xf>
    <xf numFmtId="174" fontId="4" fillId="6" borderId="0" xfId="0" applyNumberFormat="1" applyFont="1" applyFill="1" applyAlignment="1">
      <alignment horizontal="center" wrapText="1"/>
    </xf>
    <xf numFmtId="165" fontId="4" fillId="6" borderId="0" xfId="0" applyNumberFormat="1" applyFont="1" applyFill="1" applyAlignment="1">
      <alignment horizontal="center" wrapText="1"/>
    </xf>
    <xf numFmtId="164" fontId="4" fillId="6" borderId="0" xfId="42" applyFont="1" applyFill="1"/>
    <xf numFmtId="164" fontId="5" fillId="6" borderId="0" xfId="42" applyFont="1" applyFill="1" applyBorder="1" applyAlignment="1">
      <alignment horizontal="right"/>
    </xf>
    <xf numFmtId="174" fontId="31" fillId="0" borderId="35" xfId="0" quotePrefix="1" applyNumberFormat="1" applyFont="1" applyBorder="1" applyAlignment="1">
      <alignment horizontal="center"/>
    </xf>
    <xf numFmtId="0" fontId="6" fillId="8" borderId="0" xfId="0" applyFont="1" applyFill="1"/>
    <xf numFmtId="167" fontId="6" fillId="8" borderId="0" xfId="0" applyNumberFormat="1" applyFont="1" applyFill="1"/>
    <xf numFmtId="0" fontId="1" fillId="8" borderId="0" xfId="55" applyFill="1"/>
    <xf numFmtId="2" fontId="52" fillId="3" borderId="2" xfId="0" applyNumberFormat="1" applyFont="1" applyFill="1" applyBorder="1" applyAlignment="1">
      <alignment horizontal="center"/>
    </xf>
    <xf numFmtId="0" fontId="43" fillId="8" borderId="19" xfId="0" applyFont="1" applyFill="1" applyBorder="1" applyProtection="1">
      <protection locked="0"/>
    </xf>
    <xf numFmtId="0" fontId="31" fillId="12" borderId="40" xfId="0" applyFont="1" applyFill="1" applyBorder="1" applyAlignment="1">
      <alignment horizontal="center"/>
    </xf>
    <xf numFmtId="0" fontId="31" fillId="12" borderId="47" xfId="0" applyFont="1" applyFill="1" applyBorder="1" applyAlignment="1">
      <alignment horizontal="center"/>
    </xf>
    <xf numFmtId="0" fontId="31" fillId="12" borderId="48" xfId="0" applyFont="1" applyFill="1" applyBorder="1" applyAlignment="1">
      <alignment horizontal="center"/>
    </xf>
    <xf numFmtId="0" fontId="36" fillId="0" borderId="0" xfId="0" applyFont="1" applyAlignment="1">
      <alignment horizontal="left"/>
    </xf>
    <xf numFmtId="0" fontId="60" fillId="10" borderId="0" xfId="0" quotePrefix="1" applyFont="1" applyFill="1" applyAlignment="1">
      <alignment horizontal="left"/>
    </xf>
    <xf numFmtId="174" fontId="31" fillId="0" borderId="50" xfId="0" quotePrefix="1" applyNumberFormat="1" applyFont="1" applyBorder="1" applyAlignment="1">
      <alignment horizontal="center"/>
    </xf>
    <xf numFmtId="174" fontId="31" fillId="0" borderId="51" xfId="0" quotePrefix="1" applyNumberFormat="1" applyFont="1" applyBorder="1" applyAlignment="1">
      <alignment horizontal="center"/>
    </xf>
    <xf numFmtId="0" fontId="6" fillId="0" borderId="0" xfId="0" applyFont="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37" fillId="7" borderId="0" xfId="0" applyFont="1" applyFill="1" applyAlignment="1">
      <alignment horizontal="center"/>
    </xf>
    <xf numFmtId="0" fontId="38" fillId="0" borderId="0" xfId="0" applyFont="1" applyAlignment="1">
      <alignment horizontal="center"/>
    </xf>
    <xf numFmtId="0" fontId="7" fillId="3" borderId="0" xfId="0" applyFont="1" applyFill="1" applyAlignment="1">
      <alignment horizontal="center"/>
    </xf>
    <xf numFmtId="0" fontId="41" fillId="0" borderId="0" xfId="0" applyFont="1" applyAlignment="1">
      <alignment horizontal="center"/>
    </xf>
    <xf numFmtId="0" fontId="39" fillId="7" borderId="0" xfId="0" applyFont="1" applyFill="1" applyAlignment="1">
      <alignment vertical="center" wrapText="1" shrinkToFit="1"/>
    </xf>
    <xf numFmtId="0" fontId="41" fillId="7" borderId="0" xfId="0" applyFont="1" applyFill="1" applyAlignment="1">
      <alignment vertical="center" wrapText="1"/>
    </xf>
    <xf numFmtId="0" fontId="40" fillId="7" borderId="0" xfId="0" applyFont="1" applyFill="1" applyAlignment="1">
      <alignment wrapText="1" shrinkToFit="1"/>
    </xf>
    <xf numFmtId="0" fontId="41" fillId="7" borderId="0" xfId="0" applyFont="1" applyFill="1" applyAlignment="1">
      <alignment wrapText="1"/>
    </xf>
    <xf numFmtId="0" fontId="8" fillId="0" borderId="0" xfId="0" applyFont="1" applyAlignment="1">
      <alignment horizontal="left"/>
    </xf>
    <xf numFmtId="0" fontId="8" fillId="0" borderId="0" xfId="0" applyFont="1" applyAlignment="1">
      <alignment horizontal="left" wrapText="1"/>
    </xf>
    <xf numFmtId="0" fontId="43" fillId="0" borderId="0" xfId="0" applyFont="1" applyAlignment="1">
      <alignment vertical="center" wrapText="1"/>
    </xf>
    <xf numFmtId="0" fontId="44" fillId="0" borderId="0" xfId="0" applyFont="1" applyAlignment="1">
      <alignment vertical="center"/>
    </xf>
    <xf numFmtId="0" fontId="7" fillId="0" borderId="22" xfId="0" applyFont="1" applyBorder="1" applyAlignment="1">
      <alignment horizontal="center" vertical="center" textRotation="255"/>
    </xf>
    <xf numFmtId="0" fontId="7" fillId="0" borderId="7" xfId="0" applyFont="1" applyBorder="1" applyAlignment="1">
      <alignment horizontal="center" vertical="center" textRotation="255"/>
    </xf>
    <xf numFmtId="0" fontId="30" fillId="0" borderId="0" xfId="0" applyFont="1" applyAlignment="1">
      <alignment vertical="center" wrapText="1"/>
    </xf>
    <xf numFmtId="0" fontId="7" fillId="10" borderId="11" xfId="0" applyFont="1" applyFill="1" applyBorder="1" applyAlignment="1">
      <alignment horizontal="center" vertical="center" wrapText="1"/>
    </xf>
    <xf numFmtId="0" fontId="21" fillId="10" borderId="12" xfId="0" applyFont="1" applyFill="1" applyBorder="1" applyAlignment="1">
      <alignment horizontal="center" vertical="center" wrapText="1"/>
    </xf>
    <xf numFmtId="0" fontId="21" fillId="10" borderId="13" xfId="0" applyFont="1" applyFill="1" applyBorder="1" applyAlignment="1">
      <alignment horizontal="center" vertical="center" wrapText="1"/>
    </xf>
    <xf numFmtId="0" fontId="31" fillId="12" borderId="45" xfId="0" applyFont="1" applyFill="1" applyBorder="1" applyAlignment="1">
      <alignment horizontal="center"/>
    </xf>
    <xf numFmtId="0" fontId="31" fillId="12" borderId="49" xfId="0" applyFont="1" applyFill="1" applyBorder="1" applyAlignment="1">
      <alignment horizontal="center"/>
    </xf>
    <xf numFmtId="0" fontId="31" fillId="12" borderId="21" xfId="0" applyFont="1" applyFill="1" applyBorder="1" applyAlignment="1">
      <alignment horizontal="center"/>
    </xf>
    <xf numFmtId="0" fontId="31" fillId="12" borderId="40" xfId="0" applyFont="1" applyFill="1" applyBorder="1" applyAlignment="1">
      <alignment horizontal="center"/>
    </xf>
    <xf numFmtId="0" fontId="31" fillId="12" borderId="47" xfId="0" applyFont="1" applyFill="1" applyBorder="1" applyAlignment="1">
      <alignment horizontal="center"/>
    </xf>
    <xf numFmtId="0" fontId="31" fillId="12" borderId="48" xfId="0" applyFont="1" applyFill="1" applyBorder="1" applyAlignment="1">
      <alignment horizont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8" fillId="0" borderId="16" xfId="0" applyFont="1" applyBorder="1" applyAlignment="1">
      <alignment horizontal="left" vertical="center" wrapText="1"/>
    </xf>
  </cellXfs>
  <cellStyles count="56">
    <cellStyle name="Comma 2" xfId="53" xr:uid="{00000000-0005-0000-0000-000000000000}"/>
    <cellStyle name="Euro" xfId="42" xr:uid="{00000000-0005-0000-0000-000001000000}"/>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7" builtinId="8" hidden="1"/>
    <cellStyle name="Lien hypertexte" xfId="29" builtinId="8" hidden="1"/>
    <cellStyle name="Lien hypertexte" xfId="31" builtinId="8" hidden="1"/>
    <cellStyle name="Lien hypertexte" xfId="33" builtinId="8" hidden="1"/>
    <cellStyle name="Lien hypertexte" xfId="35" builtinId="8" hidden="1"/>
    <cellStyle name="Lien hypertexte" xfId="37" builtinId="8" hidden="1"/>
    <cellStyle name="Lien hypertexte" xfId="39" builtinId="8" hidden="1"/>
    <cellStyle name="Lien hypertexte" xfId="43" builtinId="8" hidden="1"/>
    <cellStyle name="Lien hypertexte" xfId="45" builtinId="8" hidden="1"/>
    <cellStyle name="Lien hypertexte" xfId="47" builtinId="8" hidden="1"/>
    <cellStyle name="Lien hypertexte" xfId="49" builtinId="8" hidden="1"/>
    <cellStyle name="Lien hypertexte" xfId="51" builtinId="8" hidden="1"/>
    <cellStyle name="Lien hypertexte" xfId="55" builtinId="8"/>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8" builtinId="9" hidden="1"/>
    <cellStyle name="Lien hypertexte visité" xfId="30" builtinId="9" hidden="1"/>
    <cellStyle name="Lien hypertexte visité" xfId="32" builtinId="9" hidden="1"/>
    <cellStyle name="Lien hypertexte visité" xfId="34" builtinId="9" hidden="1"/>
    <cellStyle name="Lien hypertexte visité" xfId="36" builtinId="9" hidden="1"/>
    <cellStyle name="Lien hypertexte visité" xfId="38" builtinId="9" hidden="1"/>
    <cellStyle name="Lien hypertexte visité" xfId="40" builtinId="9" hidden="1"/>
    <cellStyle name="Lien hypertexte visité" xfId="44" builtinId="9" hidden="1"/>
    <cellStyle name="Lien hypertexte visité" xfId="46" builtinId="9" hidden="1"/>
    <cellStyle name="Lien hypertexte visité" xfId="48" builtinId="9" hidden="1"/>
    <cellStyle name="Lien hypertexte visité" xfId="50" builtinId="9" hidden="1"/>
    <cellStyle name="Lien hypertexte visité" xfId="52" builtinId="9" hidden="1"/>
    <cellStyle name="Normal" xfId="0" builtinId="0"/>
    <cellStyle name="Normal 3" xfId="54" xr:uid="{00000000-0005-0000-0000-000035000000}"/>
    <cellStyle name="Pourcentage" xfId="41" builtinId="5"/>
  </cellStyles>
  <dxfs count="0"/>
  <tableStyles count="0" defaultTableStyle="TableStyleMedium9" defaultPivotStyle="PivotStyleMedium4"/>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marker>
            <c:symbol val="none"/>
          </c:marker>
          <c:val>
            <c:numRef>
              <c:f>'Seuil de rentabilité'!$B$13:$B$50</c:f>
              <c:numCache>
                <c:formatCode>_-* #\ ##0.00\ [$€-1]_-;\-* #\ ##0.00\ [$€-1]_-;_-* "-"??\ [$€-1]_-;_-@_-</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numCache>
            </c:numRef>
          </c:val>
          <c:smooth val="0"/>
          <c:extLst>
            <c:ext xmlns:c16="http://schemas.microsoft.com/office/drawing/2014/chart" uri="{C3380CC4-5D6E-409C-BE32-E72D297353CC}">
              <c16:uniqueId val="{00000000-BD72-49F4-929E-C1E39A2FCCC7}"/>
            </c:ext>
          </c:extLst>
        </c:ser>
        <c:ser>
          <c:idx val="1"/>
          <c:order val="1"/>
          <c:marker>
            <c:symbol val="none"/>
          </c:marker>
          <c:val>
            <c:numRef>
              <c:f>'Seuil de rentabilité'!$C$13:$C$50</c:f>
              <c:numCache>
                <c:formatCode>#\ ##0\ "€"</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numCache>
            </c:numRef>
          </c:val>
          <c:smooth val="0"/>
          <c:extLst>
            <c:ext xmlns:c16="http://schemas.microsoft.com/office/drawing/2014/chart" uri="{C3380CC4-5D6E-409C-BE32-E72D297353CC}">
              <c16:uniqueId val="{00000001-BD72-49F4-929E-C1E39A2FCCC7}"/>
            </c:ext>
          </c:extLst>
        </c:ser>
        <c:dLbls>
          <c:showLegendKey val="0"/>
          <c:showVal val="0"/>
          <c:showCatName val="0"/>
          <c:showSerName val="0"/>
          <c:showPercent val="0"/>
          <c:showBubbleSize val="0"/>
        </c:dLbls>
        <c:smooth val="0"/>
        <c:axId val="334112168"/>
        <c:axId val="150442016"/>
      </c:lineChart>
      <c:catAx>
        <c:axId val="334112168"/>
        <c:scaling>
          <c:orientation val="minMax"/>
        </c:scaling>
        <c:delete val="0"/>
        <c:axPos val="b"/>
        <c:title>
          <c:tx>
            <c:rich>
              <a:bodyPr/>
              <a:lstStyle/>
              <a:p>
                <a:pPr>
                  <a:defRPr/>
                </a:pPr>
                <a:r>
                  <a:rPr lang="fr-FR"/>
                  <a:t>Nombre</a:t>
                </a:r>
                <a:r>
                  <a:rPr lang="fr-FR" baseline="0"/>
                  <a:t> de clients</a:t>
                </a:r>
              </a:p>
            </c:rich>
          </c:tx>
          <c:overlay val="0"/>
        </c:title>
        <c:majorTickMark val="out"/>
        <c:minorTickMark val="none"/>
        <c:tickLblPos val="nextTo"/>
        <c:crossAx val="150442016"/>
        <c:crosses val="autoZero"/>
        <c:auto val="1"/>
        <c:lblAlgn val="ctr"/>
        <c:lblOffset val="100"/>
        <c:noMultiLvlLbl val="0"/>
      </c:catAx>
      <c:valAx>
        <c:axId val="150442016"/>
        <c:scaling>
          <c:orientation val="minMax"/>
        </c:scaling>
        <c:delete val="0"/>
        <c:axPos val="l"/>
        <c:majorGridlines/>
        <c:numFmt formatCode="_-* #\ ##0.00\ [$€-1]_-;\-* #\ ##0.00\ [$€-1]_-;_-* &quot;-&quot;??\ [$€-1]_-;_-@_-" sourceLinked="1"/>
        <c:majorTickMark val="out"/>
        <c:minorTickMark val="none"/>
        <c:tickLblPos val="nextTo"/>
        <c:crossAx val="334112168"/>
        <c:crosses val="autoZero"/>
        <c:crossBetween val="between"/>
      </c:valAx>
    </c:plotArea>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7503976</xdr:colOff>
      <xdr:row>14</xdr:row>
      <xdr:rowOff>43581</xdr:rowOff>
    </xdr:from>
    <xdr:to>
      <xdr:col>2</xdr:col>
      <xdr:colOff>150676</xdr:colOff>
      <xdr:row>20</xdr:row>
      <xdr:rowOff>16147</xdr:rowOff>
    </xdr:to>
    <xdr:pic>
      <xdr:nvPicPr>
        <xdr:cNvPr id="4" name="Image 3">
          <a:extLst>
            <a:ext uri="{FF2B5EF4-FFF2-40B4-BE49-F238E27FC236}">
              <a16:creationId xmlns:a16="http://schemas.microsoft.com/office/drawing/2014/main" id="{CA5B2951-D3E0-46B5-9C99-B20A47ABB61D}"/>
            </a:ext>
          </a:extLst>
        </xdr:cNvPr>
        <xdr:cNvPicPr>
          <a:picLocks noChangeAspect="1"/>
        </xdr:cNvPicPr>
      </xdr:nvPicPr>
      <xdr:blipFill>
        <a:blip xmlns:r="http://schemas.openxmlformats.org/officeDocument/2006/relationships" r:embed="rId1"/>
        <a:stretch>
          <a:fillRect/>
        </a:stretch>
      </xdr:blipFill>
      <xdr:spPr>
        <a:xfrm>
          <a:off x="8016512" y="4261795"/>
          <a:ext cx="1409700" cy="12244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431800</xdr:colOff>
      <xdr:row>12</xdr:row>
      <xdr:rowOff>80433</xdr:rowOff>
    </xdr:from>
    <xdr:to>
      <xdr:col>10</xdr:col>
      <xdr:colOff>296333</xdr:colOff>
      <xdr:row>28</xdr:row>
      <xdr:rowOff>127000</xdr:rowOff>
    </xdr:to>
    <xdr:graphicFrame macro="">
      <xdr:nvGraphicFramePr>
        <xdr:cNvPr id="2" name="Graphique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finances.belgium.be/fr/E-services/Tax-calc" TargetMode="Externa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B27"/>
  <sheetViews>
    <sheetView showGridLines="0" zoomScale="80" zoomScaleNormal="80" zoomScalePageLayoutView="125" workbookViewId="0">
      <selection activeCell="A5" sqref="A5:B5"/>
    </sheetView>
  </sheetViews>
  <sheetFormatPr baseColWidth="10" defaultColWidth="10.6640625" defaultRowHeight="14" x14ac:dyDescent="0.15"/>
  <cols>
    <col min="1" max="1" width="6.6640625" style="2" customWidth="1"/>
    <col min="2" max="2" width="115" style="2" customWidth="1"/>
    <col min="3" max="16384" width="10.6640625" style="2"/>
  </cols>
  <sheetData>
    <row r="2" spans="1:2" ht="18" x14ac:dyDescent="0.2">
      <c r="A2" s="35" t="s">
        <v>68</v>
      </c>
    </row>
    <row r="5" spans="1:2" ht="38" customHeight="1" x14ac:dyDescent="0.15">
      <c r="A5" s="257" t="s">
        <v>120</v>
      </c>
      <c r="B5" s="257"/>
    </row>
    <row r="6" spans="1:2" ht="21" customHeight="1" x14ac:dyDescent="0.15">
      <c r="A6" s="99" t="s">
        <v>69</v>
      </c>
    </row>
    <row r="8" spans="1:2" ht="26" x14ac:dyDescent="0.3">
      <c r="A8" s="258" t="s">
        <v>121</v>
      </c>
      <c r="B8" s="259"/>
    </row>
    <row r="9" spans="1:2" ht="16" x14ac:dyDescent="0.2">
      <c r="A9" s="260" t="s">
        <v>122</v>
      </c>
      <c r="B9" s="261"/>
    </row>
    <row r="10" spans="1:2" ht="37.25" customHeight="1" x14ac:dyDescent="0.15">
      <c r="B10" s="149" t="s">
        <v>123</v>
      </c>
    </row>
    <row r="11" spans="1:2" ht="9" customHeight="1" x14ac:dyDescent="0.15">
      <c r="B11" s="149"/>
    </row>
    <row r="12" spans="1:2" ht="35" customHeight="1" x14ac:dyDescent="0.15">
      <c r="A12" s="262" t="s">
        <v>146</v>
      </c>
      <c r="B12" s="263"/>
    </row>
    <row r="14" spans="1:2" ht="49.25" customHeight="1" x14ac:dyDescent="0.2">
      <c r="A14" s="264" t="s">
        <v>124</v>
      </c>
      <c r="B14" s="265"/>
    </row>
    <row r="16" spans="1:2" x14ac:dyDescent="0.15">
      <c r="A16" s="255" t="s">
        <v>173</v>
      </c>
      <c r="B16" s="256"/>
    </row>
    <row r="17" spans="1:2" x14ac:dyDescent="0.15">
      <c r="A17" s="256"/>
      <c r="B17" s="256"/>
    </row>
    <row r="18" spans="1:2" x14ac:dyDescent="0.15">
      <c r="A18" s="256"/>
      <c r="B18" s="256"/>
    </row>
    <row r="19" spans="1:2" x14ac:dyDescent="0.15">
      <c r="A19" s="256"/>
      <c r="B19" s="256"/>
    </row>
    <row r="20" spans="1:2" x14ac:dyDescent="0.15">
      <c r="A20" s="256"/>
      <c r="B20" s="256"/>
    </row>
    <row r="21" spans="1:2" x14ac:dyDescent="0.15">
      <c r="A21" s="256"/>
      <c r="B21" s="256"/>
    </row>
    <row r="22" spans="1:2" x14ac:dyDescent="0.15">
      <c r="A22" s="256"/>
      <c r="B22" s="256"/>
    </row>
    <row r="23" spans="1:2" x14ac:dyDescent="0.15">
      <c r="A23" s="256"/>
      <c r="B23" s="256"/>
    </row>
    <row r="24" spans="1:2" x14ac:dyDescent="0.15">
      <c r="A24" s="256"/>
      <c r="B24" s="256"/>
    </row>
    <row r="25" spans="1:2" ht="24" customHeight="1" x14ac:dyDescent="0.15">
      <c r="A25" s="256"/>
      <c r="B25" s="256"/>
    </row>
    <row r="26" spans="1:2" x14ac:dyDescent="0.15">
      <c r="A26" s="256"/>
      <c r="B26" s="256"/>
    </row>
    <row r="27" spans="1:2" x14ac:dyDescent="0.15">
      <c r="B27" s="100"/>
    </row>
  </sheetData>
  <customSheetViews>
    <customSheetView guid="{9603C630-F6C2-4E40-A837-290F953D6A2E}" scale="125" showGridLines="0">
      <selection activeCell="B14" sqref="B14:B24"/>
      <pageMargins left="0.75" right="0.75" top="1" bottom="1" header="0.5" footer="0.5"/>
      <pageSetup paperSize="9" orientation="portrait" horizontalDpi="300" verticalDpi="300"/>
    </customSheetView>
  </customSheetViews>
  <mergeCells count="6">
    <mergeCell ref="A16:B26"/>
    <mergeCell ref="A5:B5"/>
    <mergeCell ref="A8:B8"/>
    <mergeCell ref="A9:B9"/>
    <mergeCell ref="A12:B12"/>
    <mergeCell ref="A14:B14"/>
  </mergeCells>
  <pageMargins left="0.75" right="0.75" top="1" bottom="1" header="0.5" footer="0.5"/>
  <pageSetup paperSize="9" orientation="portrait" horizontalDpi="300" verticalDpi="30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9.9978637043366805E-2"/>
  </sheetPr>
  <dimension ref="B1:K24"/>
  <sheetViews>
    <sheetView showGridLines="0" zoomScale="110" zoomScaleNormal="110" zoomScalePageLayoutView="125" workbookViewId="0">
      <selection activeCell="E17" sqref="E17"/>
    </sheetView>
  </sheetViews>
  <sheetFormatPr baseColWidth="10" defaultColWidth="10.6640625" defaultRowHeight="14" x14ac:dyDescent="0.15"/>
  <cols>
    <col min="1" max="1" width="5" style="2" customWidth="1"/>
    <col min="2" max="2" width="31.1640625" style="2" customWidth="1"/>
    <col min="3" max="9" width="16.5" style="2" customWidth="1"/>
    <col min="10" max="10" width="5.1640625" style="2" customWidth="1"/>
    <col min="11" max="16384" width="10.6640625" style="2"/>
  </cols>
  <sheetData>
    <row r="1" spans="2:11" ht="36" customHeight="1" x14ac:dyDescent="0.15">
      <c r="B1" s="21" t="s">
        <v>23</v>
      </c>
    </row>
    <row r="2" spans="2:11" s="4" customFormat="1" x14ac:dyDescent="0.15">
      <c r="B2" s="266" t="s">
        <v>125</v>
      </c>
      <c r="C2" s="266"/>
      <c r="D2" s="266"/>
      <c r="E2" s="266"/>
      <c r="F2" s="266"/>
      <c r="G2" s="266"/>
      <c r="H2" s="266"/>
      <c r="I2" s="266"/>
    </row>
    <row r="3" spans="2:11" s="4" customFormat="1" ht="33" customHeight="1" x14ac:dyDescent="0.15">
      <c r="B3" s="267" t="s">
        <v>126</v>
      </c>
      <c r="C3" s="267"/>
      <c r="D3" s="267"/>
      <c r="E3" s="267"/>
      <c r="F3" s="267"/>
      <c r="G3" s="267"/>
      <c r="H3" s="267"/>
      <c r="I3" s="267"/>
    </row>
    <row r="5" spans="2:11" ht="60" x14ac:dyDescent="0.15">
      <c r="B5" s="6" t="s">
        <v>0</v>
      </c>
      <c r="C5" s="7"/>
      <c r="D5" s="8" t="s">
        <v>174</v>
      </c>
      <c r="E5" s="8" t="s">
        <v>175</v>
      </c>
      <c r="F5" s="8" t="s">
        <v>17</v>
      </c>
      <c r="G5" s="8" t="s">
        <v>17</v>
      </c>
      <c r="H5" s="8" t="s">
        <v>101</v>
      </c>
      <c r="I5" s="8" t="s">
        <v>107</v>
      </c>
    </row>
    <row r="6" spans="2:11" ht="15" x14ac:dyDescent="0.15">
      <c r="B6" s="9"/>
      <c r="C6" s="9" t="s">
        <v>21</v>
      </c>
      <c r="D6" s="10" t="s">
        <v>20</v>
      </c>
      <c r="E6" s="10" t="s">
        <v>20</v>
      </c>
      <c r="F6" s="10" t="s">
        <v>18</v>
      </c>
      <c r="G6" s="10" t="s">
        <v>19</v>
      </c>
      <c r="H6" s="10" t="s">
        <v>20</v>
      </c>
      <c r="I6" s="10" t="s">
        <v>20</v>
      </c>
    </row>
    <row r="7" spans="2:11" x14ac:dyDescent="0.15">
      <c r="B7" s="11" t="s">
        <v>1</v>
      </c>
      <c r="C7" s="12">
        <v>0</v>
      </c>
      <c r="D7" s="185">
        <v>0</v>
      </c>
      <c r="E7" s="186">
        <f>SUM(D7/1.21)</f>
        <v>0</v>
      </c>
      <c r="F7" s="12">
        <v>3</v>
      </c>
      <c r="G7" s="13">
        <f>+F7*12</f>
        <v>36</v>
      </c>
      <c r="H7" s="171">
        <f>E7*C7/G7</f>
        <v>0</v>
      </c>
      <c r="I7" s="172">
        <f>H7</f>
        <v>0</v>
      </c>
      <c r="J7" s="187" t="s">
        <v>160</v>
      </c>
      <c r="K7" s="2" t="s">
        <v>165</v>
      </c>
    </row>
    <row r="8" spans="2:11" x14ac:dyDescent="0.15">
      <c r="B8" s="15" t="s">
        <v>2</v>
      </c>
      <c r="C8" s="16">
        <v>0</v>
      </c>
      <c r="D8" s="185">
        <v>0</v>
      </c>
      <c r="E8" s="186">
        <f t="shared" ref="E8:E20" si="0">SUM(D8/1.21)</f>
        <v>0</v>
      </c>
      <c r="F8" s="16">
        <v>3</v>
      </c>
      <c r="G8" s="17">
        <f t="shared" ref="G8:G20" si="1">+F8*12</f>
        <v>36</v>
      </c>
      <c r="H8" s="171">
        <f t="shared" ref="H8:H20" si="2">E8*C8/G8</f>
        <v>0</v>
      </c>
      <c r="I8" s="172">
        <f t="shared" ref="I8:I14" si="3">H8</f>
        <v>0</v>
      </c>
      <c r="J8" s="187" t="s">
        <v>160</v>
      </c>
      <c r="K8" s="2" t="s">
        <v>198</v>
      </c>
    </row>
    <row r="9" spans="2:11" x14ac:dyDescent="0.15">
      <c r="B9" s="15" t="s">
        <v>104</v>
      </c>
      <c r="C9" s="16">
        <v>0</v>
      </c>
      <c r="D9" s="185">
        <v>0</v>
      </c>
      <c r="E9" s="186">
        <f t="shared" si="0"/>
        <v>0</v>
      </c>
      <c r="F9" s="16">
        <v>5</v>
      </c>
      <c r="G9" s="17">
        <f t="shared" si="1"/>
        <v>60</v>
      </c>
      <c r="H9" s="171">
        <f t="shared" si="2"/>
        <v>0</v>
      </c>
      <c r="I9" s="172">
        <f t="shared" si="3"/>
        <v>0</v>
      </c>
    </row>
    <row r="10" spans="2:11" x14ac:dyDescent="0.15">
      <c r="B10" s="15" t="s">
        <v>105</v>
      </c>
      <c r="C10" s="16">
        <v>0</v>
      </c>
      <c r="D10" s="185">
        <v>0</v>
      </c>
      <c r="E10" s="186">
        <f t="shared" si="0"/>
        <v>0</v>
      </c>
      <c r="F10" s="16">
        <v>5</v>
      </c>
      <c r="G10" s="17">
        <f t="shared" si="1"/>
        <v>60</v>
      </c>
      <c r="H10" s="171">
        <f t="shared" si="2"/>
        <v>0</v>
      </c>
      <c r="I10" s="172">
        <f t="shared" si="3"/>
        <v>0</v>
      </c>
    </row>
    <row r="11" spans="2:11" x14ac:dyDescent="0.15">
      <c r="B11" s="15" t="s">
        <v>3</v>
      </c>
      <c r="C11" s="16">
        <v>0</v>
      </c>
      <c r="D11" s="185">
        <v>0</v>
      </c>
      <c r="E11" s="186">
        <f t="shared" si="0"/>
        <v>0</v>
      </c>
      <c r="F11" s="16">
        <v>3</v>
      </c>
      <c r="G11" s="17">
        <f t="shared" si="1"/>
        <v>36</v>
      </c>
      <c r="H11" s="171">
        <f t="shared" si="2"/>
        <v>0</v>
      </c>
      <c r="I11" s="172">
        <f t="shared" si="3"/>
        <v>0</v>
      </c>
    </row>
    <row r="12" spans="2:11" x14ac:dyDescent="0.15">
      <c r="B12" s="15" t="s">
        <v>159</v>
      </c>
      <c r="C12" s="16">
        <v>0</v>
      </c>
      <c r="D12" s="185">
        <v>0</v>
      </c>
      <c r="E12" s="186">
        <f t="shared" si="0"/>
        <v>0</v>
      </c>
      <c r="F12" s="16">
        <v>3</v>
      </c>
      <c r="G12" s="17">
        <f t="shared" si="1"/>
        <v>36</v>
      </c>
      <c r="H12" s="171">
        <f t="shared" si="2"/>
        <v>0</v>
      </c>
      <c r="I12" s="172">
        <f t="shared" si="3"/>
        <v>0</v>
      </c>
    </row>
    <row r="13" spans="2:11" x14ac:dyDescent="0.15">
      <c r="B13" s="15" t="s">
        <v>210</v>
      </c>
      <c r="C13" s="16">
        <v>0</v>
      </c>
      <c r="D13" s="185">
        <v>0</v>
      </c>
      <c r="E13" s="186">
        <f t="shared" si="0"/>
        <v>0</v>
      </c>
      <c r="F13" s="16">
        <v>3</v>
      </c>
      <c r="G13" s="17">
        <f t="shared" si="1"/>
        <v>36</v>
      </c>
      <c r="H13" s="171">
        <f t="shared" si="2"/>
        <v>0</v>
      </c>
      <c r="I13" s="172">
        <f t="shared" si="3"/>
        <v>0</v>
      </c>
    </row>
    <row r="14" spans="2:11" x14ac:dyDescent="0.15">
      <c r="B14" s="15" t="s">
        <v>190</v>
      </c>
      <c r="C14" s="16">
        <v>0</v>
      </c>
      <c r="D14" s="185">
        <v>0</v>
      </c>
      <c r="E14" s="186">
        <f t="shared" si="0"/>
        <v>0</v>
      </c>
      <c r="F14" s="16">
        <v>3</v>
      </c>
      <c r="G14" s="17">
        <f t="shared" si="1"/>
        <v>36</v>
      </c>
      <c r="H14" s="171">
        <f t="shared" si="2"/>
        <v>0</v>
      </c>
      <c r="I14" s="172">
        <f t="shared" si="3"/>
        <v>0</v>
      </c>
    </row>
    <row r="15" spans="2:11" x14ac:dyDescent="0.15">
      <c r="B15" s="15" t="s">
        <v>106</v>
      </c>
      <c r="C15" s="16">
        <v>0</v>
      </c>
      <c r="D15" s="185">
        <v>0</v>
      </c>
      <c r="E15" s="186">
        <f t="shared" si="0"/>
        <v>0</v>
      </c>
      <c r="F15" s="16">
        <v>3</v>
      </c>
      <c r="G15" s="17">
        <f t="shared" si="1"/>
        <v>36</v>
      </c>
      <c r="H15" s="171">
        <f t="shared" si="2"/>
        <v>0</v>
      </c>
      <c r="I15" s="172">
        <f t="shared" ref="I15:I20" si="4">H15</f>
        <v>0</v>
      </c>
    </row>
    <row r="16" spans="2:11" x14ac:dyDescent="0.15">
      <c r="B16" s="15"/>
      <c r="C16" s="16">
        <v>0</v>
      </c>
      <c r="D16" s="185">
        <v>0</v>
      </c>
      <c r="E16" s="186">
        <v>0</v>
      </c>
      <c r="F16" s="16">
        <v>3</v>
      </c>
      <c r="G16" s="17">
        <f t="shared" si="1"/>
        <v>36</v>
      </c>
      <c r="H16" s="171">
        <f t="shared" si="2"/>
        <v>0</v>
      </c>
      <c r="I16" s="172">
        <f t="shared" si="4"/>
        <v>0</v>
      </c>
    </row>
    <row r="17" spans="2:9" x14ac:dyDescent="0.15">
      <c r="B17" s="15"/>
      <c r="C17" s="16">
        <v>1</v>
      </c>
      <c r="D17" s="185">
        <v>0</v>
      </c>
      <c r="E17" s="186">
        <f t="shared" si="0"/>
        <v>0</v>
      </c>
      <c r="F17" s="16">
        <v>3</v>
      </c>
      <c r="G17" s="17">
        <f t="shared" si="1"/>
        <v>36</v>
      </c>
      <c r="H17" s="171">
        <f t="shared" si="2"/>
        <v>0</v>
      </c>
      <c r="I17" s="172">
        <f t="shared" si="4"/>
        <v>0</v>
      </c>
    </row>
    <row r="18" spans="2:9" x14ac:dyDescent="0.15">
      <c r="B18" s="15"/>
      <c r="C18" s="16">
        <v>0</v>
      </c>
      <c r="D18" s="185">
        <v>0</v>
      </c>
      <c r="E18" s="186">
        <f t="shared" si="0"/>
        <v>0</v>
      </c>
      <c r="F18" s="16">
        <v>3</v>
      </c>
      <c r="G18" s="17">
        <f t="shared" si="1"/>
        <v>36</v>
      </c>
      <c r="H18" s="171">
        <f t="shared" si="2"/>
        <v>0</v>
      </c>
      <c r="I18" s="172">
        <f t="shared" si="4"/>
        <v>0</v>
      </c>
    </row>
    <row r="19" spans="2:9" x14ac:dyDescent="0.15">
      <c r="B19" s="15"/>
      <c r="C19" s="16">
        <v>0</v>
      </c>
      <c r="D19" s="185">
        <v>0</v>
      </c>
      <c r="E19" s="186">
        <f t="shared" si="0"/>
        <v>0</v>
      </c>
      <c r="F19" s="16">
        <v>3</v>
      </c>
      <c r="G19" s="17">
        <f t="shared" si="1"/>
        <v>36</v>
      </c>
      <c r="H19" s="171">
        <f t="shared" si="2"/>
        <v>0</v>
      </c>
      <c r="I19" s="172">
        <f t="shared" si="4"/>
        <v>0</v>
      </c>
    </row>
    <row r="20" spans="2:9" x14ac:dyDescent="0.15">
      <c r="B20" s="15"/>
      <c r="C20" s="16">
        <v>0</v>
      </c>
      <c r="D20" s="185">
        <v>0</v>
      </c>
      <c r="E20" s="186">
        <f t="shared" si="0"/>
        <v>0</v>
      </c>
      <c r="F20" s="16">
        <v>3</v>
      </c>
      <c r="G20" s="17">
        <f t="shared" si="1"/>
        <v>36</v>
      </c>
      <c r="H20" s="171">
        <f t="shared" si="2"/>
        <v>0</v>
      </c>
      <c r="I20" s="172">
        <f t="shared" si="4"/>
        <v>0</v>
      </c>
    </row>
    <row r="21" spans="2:9" s="3" customFormat="1" x14ac:dyDescent="0.15">
      <c r="B21" s="18" t="s">
        <v>4</v>
      </c>
      <c r="C21" s="19"/>
      <c r="D21" s="19"/>
      <c r="E21" s="170">
        <f>SUM(E7:E20)</f>
        <v>0</v>
      </c>
      <c r="F21" s="19"/>
      <c r="G21" s="20"/>
      <c r="H21" s="173">
        <f>SUM(H7:H20)</f>
        <v>0</v>
      </c>
      <c r="I21" s="173">
        <f>SUM(I7:I20)</f>
        <v>0</v>
      </c>
    </row>
    <row r="23" spans="2:9" s="83" customFormat="1" ht="16" x14ac:dyDescent="0.2">
      <c r="B23" s="268" t="s">
        <v>127</v>
      </c>
      <c r="C23" s="269"/>
      <c r="D23" s="269"/>
      <c r="E23" s="269"/>
      <c r="F23" s="269"/>
      <c r="G23" s="269"/>
      <c r="H23" s="269"/>
      <c r="I23" s="269"/>
    </row>
    <row r="24" spans="2:9" x14ac:dyDescent="0.15">
      <c r="B24" s="3" t="s">
        <v>186</v>
      </c>
    </row>
  </sheetData>
  <customSheetViews>
    <customSheetView guid="{9603C630-F6C2-4E40-A837-290F953D6A2E}" scale="125" showGridLines="0">
      <selection activeCell="B16" sqref="B16"/>
      <pageMargins left="0.75" right="0.75" top="1" bottom="1" header="0.5" footer="0.5"/>
      <pageSetup paperSize="9" orientation="portrait" horizontalDpi="4294967292" verticalDpi="4294967292"/>
    </customSheetView>
  </customSheetViews>
  <mergeCells count="3">
    <mergeCell ref="B2:I2"/>
    <mergeCell ref="B3:I3"/>
    <mergeCell ref="B23:I23"/>
  </mergeCells>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79998168889431442"/>
  </sheetPr>
  <dimension ref="A1:H32"/>
  <sheetViews>
    <sheetView showGridLines="0" zoomScaleNormal="100" zoomScalePageLayoutView="125" workbookViewId="0">
      <selection activeCell="E11" sqref="E11"/>
    </sheetView>
  </sheetViews>
  <sheetFormatPr baseColWidth="10" defaultColWidth="10.6640625" defaultRowHeight="14" x14ac:dyDescent="0.15"/>
  <cols>
    <col min="1" max="1" width="5.6640625" style="2" customWidth="1"/>
    <col min="2" max="2" width="27" style="2" customWidth="1"/>
    <col min="3" max="3" width="45.33203125" style="2" bestFit="1" customWidth="1"/>
    <col min="4" max="4" width="14.5" style="2" customWidth="1"/>
    <col min="5" max="5" width="13.6640625" style="2" customWidth="1"/>
    <col min="6" max="6" width="3.5" style="2" customWidth="1"/>
    <col min="7" max="7" width="11.6640625" style="2" bestFit="1" customWidth="1"/>
    <col min="8" max="8" width="14.6640625" style="2" customWidth="1"/>
    <col min="9" max="9" width="10.5" style="2" bestFit="1" customWidth="1"/>
    <col min="10" max="10" width="12.6640625" style="2" customWidth="1"/>
    <col min="11" max="11" width="15.5" style="2" bestFit="1" customWidth="1"/>
    <col min="12" max="12" width="16" style="2" customWidth="1"/>
    <col min="13" max="13" width="10.6640625" style="2" bestFit="1" customWidth="1"/>
    <col min="14" max="16384" width="10.6640625" style="2"/>
  </cols>
  <sheetData>
    <row r="1" spans="1:8" ht="34.25" customHeight="1" x14ac:dyDescent="0.15">
      <c r="B1" s="21" t="s">
        <v>59</v>
      </c>
    </row>
    <row r="2" spans="1:8" x14ac:dyDescent="0.15">
      <c r="B2" s="4" t="s">
        <v>70</v>
      </c>
    </row>
    <row r="3" spans="1:8" ht="15" thickBot="1" x14ac:dyDescent="0.2"/>
    <row r="4" spans="1:8" ht="32.75" customHeight="1" thickBot="1" x14ac:dyDescent="0.2">
      <c r="A4" s="270" t="s">
        <v>72</v>
      </c>
      <c r="B4" s="190" t="s">
        <v>0</v>
      </c>
      <c r="C4" s="191"/>
      <c r="D4" s="192" t="s">
        <v>166</v>
      </c>
      <c r="E4" s="193" t="s">
        <v>152</v>
      </c>
    </row>
    <row r="5" spans="1:8" x14ac:dyDescent="0.15">
      <c r="A5" s="271"/>
      <c r="B5" s="22" t="s">
        <v>76</v>
      </c>
      <c r="C5" s="11" t="s">
        <v>188</v>
      </c>
      <c r="D5" s="175">
        <f>E5*12</f>
        <v>0</v>
      </c>
      <c r="E5" s="176">
        <v>0</v>
      </c>
      <c r="F5" s="187" t="s">
        <v>160</v>
      </c>
      <c r="G5" s="150" t="s">
        <v>161</v>
      </c>
    </row>
    <row r="6" spans="1:8" x14ac:dyDescent="0.15">
      <c r="A6" s="271"/>
      <c r="B6" s="23"/>
      <c r="C6" s="11" t="s">
        <v>187</v>
      </c>
      <c r="D6" s="175">
        <f t="shared" ref="D6:D7" si="0">E6*12</f>
        <v>0</v>
      </c>
      <c r="E6" s="176">
        <v>0</v>
      </c>
      <c r="G6" s="150"/>
    </row>
    <row r="7" spans="1:8" x14ac:dyDescent="0.15">
      <c r="A7" s="271"/>
      <c r="B7" s="23"/>
      <c r="C7" s="11" t="s">
        <v>189</v>
      </c>
      <c r="D7" s="175">
        <f t="shared" si="0"/>
        <v>0</v>
      </c>
      <c r="E7" s="176">
        <v>0</v>
      </c>
      <c r="G7" s="150"/>
    </row>
    <row r="8" spans="1:8" ht="15" x14ac:dyDescent="0.15">
      <c r="A8" s="271"/>
      <c r="B8" s="23"/>
      <c r="C8" s="174" t="s">
        <v>154</v>
      </c>
      <c r="D8" s="177">
        <v>0</v>
      </c>
      <c r="E8" s="169">
        <f>D8/12</f>
        <v>0</v>
      </c>
      <c r="G8" s="178"/>
    </row>
    <row r="9" spans="1:8" x14ac:dyDescent="0.15">
      <c r="A9" s="271"/>
      <c r="B9" s="23"/>
      <c r="C9" s="15" t="s">
        <v>155</v>
      </c>
      <c r="D9" s="169">
        <f>E9*12</f>
        <v>0</v>
      </c>
      <c r="E9" s="177">
        <v>0</v>
      </c>
      <c r="G9" s="150"/>
    </row>
    <row r="10" spans="1:8" x14ac:dyDescent="0.15">
      <c r="A10" s="271"/>
      <c r="B10" s="23" t="s">
        <v>77</v>
      </c>
      <c r="C10" s="145"/>
      <c r="D10" s="169">
        <f>E10*12</f>
        <v>0</v>
      </c>
      <c r="E10" s="188">
        <f>'fond de roulement'!C18</f>
        <v>0</v>
      </c>
      <c r="G10" s="150"/>
    </row>
    <row r="11" spans="1:8" x14ac:dyDescent="0.15">
      <c r="A11" s="271"/>
      <c r="B11" s="23" t="s">
        <v>78</v>
      </c>
      <c r="C11" s="15"/>
      <c r="D11" s="169">
        <f>E11*12</f>
        <v>0</v>
      </c>
      <c r="E11" s="177">
        <v>0</v>
      </c>
      <c r="F11" s="187" t="s">
        <v>160</v>
      </c>
      <c r="G11" s="150" t="s">
        <v>138</v>
      </c>
    </row>
    <row r="12" spans="1:8" x14ac:dyDescent="0.15">
      <c r="A12" s="271"/>
      <c r="B12" s="23" t="s">
        <v>79</v>
      </c>
      <c r="C12" s="15" t="s">
        <v>167</v>
      </c>
      <c r="D12" s="177">
        <v>0</v>
      </c>
      <c r="E12" s="169">
        <f>D12/12</f>
        <v>0</v>
      </c>
      <c r="G12" s="150"/>
    </row>
    <row r="13" spans="1:8" x14ac:dyDescent="0.15">
      <c r="A13" s="271"/>
      <c r="B13" s="23"/>
      <c r="C13" s="15" t="s">
        <v>168</v>
      </c>
      <c r="D13" s="177">
        <v>0</v>
      </c>
      <c r="E13" s="169">
        <f>D13/12</f>
        <v>0</v>
      </c>
      <c r="G13" s="150"/>
      <c r="H13" s="152"/>
    </row>
    <row r="14" spans="1:8" x14ac:dyDescent="0.15">
      <c r="A14" s="271"/>
      <c r="B14" s="23"/>
      <c r="C14" s="15" t="s">
        <v>193</v>
      </c>
      <c r="D14" s="177">
        <v>0</v>
      </c>
      <c r="E14" s="169">
        <f t="shared" ref="E14:E15" si="1">D14/12</f>
        <v>0</v>
      </c>
      <c r="F14" s="187" t="s">
        <v>160</v>
      </c>
      <c r="G14" s="167" t="s">
        <v>151</v>
      </c>
      <c r="H14" s="152"/>
    </row>
    <row r="15" spans="1:8" x14ac:dyDescent="0.15">
      <c r="A15" s="271"/>
      <c r="B15" s="23"/>
      <c r="C15" s="15" t="s">
        <v>169</v>
      </c>
      <c r="D15" s="177">
        <v>0</v>
      </c>
      <c r="E15" s="169">
        <f t="shared" si="1"/>
        <v>0</v>
      </c>
      <c r="G15" s="150"/>
    </row>
    <row r="16" spans="1:8" x14ac:dyDescent="0.15">
      <c r="A16" s="271"/>
      <c r="B16" s="23" t="s">
        <v>80</v>
      </c>
      <c r="C16" s="15" t="s">
        <v>194</v>
      </c>
      <c r="D16" s="169">
        <f>E16*12</f>
        <v>0</v>
      </c>
      <c r="E16" s="177">
        <v>0</v>
      </c>
      <c r="F16" s="187" t="s">
        <v>160</v>
      </c>
      <c r="G16" s="150" t="s">
        <v>162</v>
      </c>
    </row>
    <row r="17" spans="1:8" x14ac:dyDescent="0.15">
      <c r="A17" s="271"/>
      <c r="B17" s="23"/>
      <c r="C17" s="15" t="s">
        <v>192</v>
      </c>
      <c r="D17" s="169">
        <f t="shared" ref="D17:D18" si="2">E17*12</f>
        <v>0</v>
      </c>
      <c r="E17" s="177">
        <v>0</v>
      </c>
      <c r="F17" s="187" t="s">
        <v>160</v>
      </c>
      <c r="G17" s="150" t="s">
        <v>163</v>
      </c>
    </row>
    <row r="18" spans="1:8" x14ac:dyDescent="0.15">
      <c r="A18" s="271"/>
      <c r="B18" s="23" t="s">
        <v>81</v>
      </c>
      <c r="C18" s="15" t="s">
        <v>191</v>
      </c>
      <c r="D18" s="169">
        <f t="shared" si="2"/>
        <v>0</v>
      </c>
      <c r="E18" s="177">
        <v>0</v>
      </c>
      <c r="F18" s="187" t="s">
        <v>160</v>
      </c>
      <c r="G18" s="150" t="s">
        <v>164</v>
      </c>
    </row>
    <row r="19" spans="1:8" ht="30" x14ac:dyDescent="0.15">
      <c r="A19" s="271"/>
      <c r="B19" s="24" t="s">
        <v>82</v>
      </c>
      <c r="C19" s="15" t="s">
        <v>170</v>
      </c>
      <c r="D19" s="177">
        <v>0</v>
      </c>
      <c r="E19" s="169">
        <f>D19/12</f>
        <v>0</v>
      </c>
      <c r="G19" s="164"/>
    </row>
    <row r="20" spans="1:8" x14ac:dyDescent="0.15">
      <c r="A20" s="271"/>
      <c r="B20" s="23"/>
      <c r="C20" s="107" t="s">
        <v>113</v>
      </c>
      <c r="D20" s="169">
        <f>E20*12</f>
        <v>0</v>
      </c>
      <c r="E20" s="177">
        <v>0</v>
      </c>
      <c r="G20" s="150"/>
    </row>
    <row r="21" spans="1:8" x14ac:dyDescent="0.15">
      <c r="A21" s="271"/>
      <c r="B21" s="23"/>
      <c r="C21" s="107" t="s">
        <v>171</v>
      </c>
      <c r="D21" s="169">
        <f t="shared" ref="D21" si="3">E21*12</f>
        <v>0</v>
      </c>
      <c r="E21" s="177">
        <v>0</v>
      </c>
      <c r="F21" s="187" t="s">
        <v>160</v>
      </c>
      <c r="G21" s="150" t="s">
        <v>196</v>
      </c>
    </row>
    <row r="22" spans="1:8" x14ac:dyDescent="0.15">
      <c r="A22" s="25"/>
      <c r="B22" s="23"/>
      <c r="C22" s="107" t="s">
        <v>115</v>
      </c>
      <c r="D22" s="177">
        <v>0</v>
      </c>
      <c r="E22" s="169">
        <f>D22/12</f>
        <v>0</v>
      </c>
      <c r="H22" s="151"/>
    </row>
    <row r="23" spans="1:8" x14ac:dyDescent="0.15">
      <c r="A23" s="25"/>
      <c r="B23" s="23"/>
      <c r="C23" s="107" t="s">
        <v>172</v>
      </c>
      <c r="D23" s="177">
        <v>0</v>
      </c>
      <c r="E23" s="169">
        <f t="shared" ref="E23" si="4">D23/12</f>
        <v>0</v>
      </c>
      <c r="H23" s="151"/>
    </row>
    <row r="24" spans="1:8" x14ac:dyDescent="0.15">
      <c r="A24" s="25"/>
      <c r="B24" s="23"/>
      <c r="C24" s="107" t="s">
        <v>199</v>
      </c>
      <c r="D24" s="177">
        <v>0</v>
      </c>
      <c r="E24" s="169">
        <f t="shared" ref="E24:E29" si="5">D24/12</f>
        <v>0</v>
      </c>
      <c r="H24" s="151"/>
    </row>
    <row r="25" spans="1:8" x14ac:dyDescent="0.15">
      <c r="A25" s="25"/>
      <c r="B25" s="23"/>
      <c r="C25" s="107" t="s">
        <v>200</v>
      </c>
      <c r="D25" s="177">
        <v>0</v>
      </c>
      <c r="E25" s="169">
        <f t="shared" si="5"/>
        <v>0</v>
      </c>
      <c r="H25" s="151"/>
    </row>
    <row r="26" spans="1:8" x14ac:dyDescent="0.15">
      <c r="A26" s="25"/>
      <c r="B26" s="23"/>
      <c r="C26" s="107"/>
      <c r="D26" s="177">
        <v>0</v>
      </c>
      <c r="E26" s="169">
        <f t="shared" si="5"/>
        <v>0</v>
      </c>
      <c r="H26" s="151"/>
    </row>
    <row r="27" spans="1:8" x14ac:dyDescent="0.15">
      <c r="A27" s="25"/>
      <c r="B27" s="23"/>
      <c r="C27" s="107"/>
      <c r="D27" s="177">
        <v>0</v>
      </c>
      <c r="E27" s="169">
        <f t="shared" si="5"/>
        <v>0</v>
      </c>
      <c r="H27" s="151"/>
    </row>
    <row r="28" spans="1:8" x14ac:dyDescent="0.15">
      <c r="A28" s="25"/>
      <c r="B28" s="23"/>
      <c r="C28" s="107"/>
      <c r="D28" s="177">
        <v>0</v>
      </c>
      <c r="E28" s="169">
        <f t="shared" si="5"/>
        <v>0</v>
      </c>
      <c r="H28" s="151"/>
    </row>
    <row r="29" spans="1:8" x14ac:dyDescent="0.15">
      <c r="A29" s="25"/>
      <c r="B29" s="23"/>
      <c r="C29" s="107"/>
      <c r="D29" s="177">
        <v>0</v>
      </c>
      <c r="E29" s="169">
        <f t="shared" si="5"/>
        <v>0</v>
      </c>
      <c r="G29" s="150"/>
    </row>
    <row r="30" spans="1:8" x14ac:dyDescent="0.15">
      <c r="B30" s="18" t="s">
        <v>4</v>
      </c>
      <c r="C30" s="19"/>
      <c r="D30" s="20"/>
      <c r="E30" s="26">
        <f>SUM(E5:E29)</f>
        <v>0</v>
      </c>
    </row>
    <row r="32" spans="1:8" ht="69.75" customHeight="1" x14ac:dyDescent="0.15">
      <c r="B32" s="272" t="s">
        <v>128</v>
      </c>
      <c r="C32" s="269"/>
      <c r="D32" s="269"/>
      <c r="E32" s="269"/>
      <c r="H32" s="153"/>
    </row>
  </sheetData>
  <customSheetViews>
    <customSheetView guid="{9603C630-F6C2-4E40-A837-290F953D6A2E}" scale="125" showGridLines="0">
      <selection activeCell="E5" sqref="E5"/>
      <pageMargins left="0.75" right="0.75" top="1" bottom="1" header="0.5" footer="0.5"/>
      <pageSetup paperSize="9" orientation="portrait" horizontalDpi="4294967292" verticalDpi="4294967292" r:id="rId1"/>
    </customSheetView>
  </customSheetViews>
  <mergeCells count="2">
    <mergeCell ref="A4:A21"/>
    <mergeCell ref="B32:E32"/>
  </mergeCells>
  <pageMargins left="0.75" right="0.75" top="1" bottom="1" header="0.5" footer="0.5"/>
  <pageSetup paperSize="9" orientation="portrait" horizontalDpi="4294967292" verticalDpi="4294967292" r:id="rId2"/>
  <legacyDrawing r:id="rId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79998168889431442"/>
  </sheetPr>
  <dimension ref="B2:V30"/>
  <sheetViews>
    <sheetView zoomScale="76" zoomScaleNormal="76" workbookViewId="0">
      <selection activeCell="C7" sqref="C7"/>
    </sheetView>
  </sheetViews>
  <sheetFormatPr baseColWidth="10" defaultColWidth="10.6640625" defaultRowHeight="14" x14ac:dyDescent="0.15"/>
  <cols>
    <col min="1" max="1" width="2.1640625" style="198" customWidth="1"/>
    <col min="2" max="2" width="16.6640625" style="196" customWidth="1"/>
    <col min="3" max="3" width="9.1640625" style="195" bestFit="1" customWidth="1"/>
    <col min="4" max="4" width="17.1640625" style="196" customWidth="1"/>
    <col min="5" max="5" width="8.1640625" style="195" customWidth="1"/>
    <col min="6" max="6" width="17" style="196" customWidth="1"/>
    <col min="7" max="7" width="8.1640625" style="195" customWidth="1"/>
    <col min="8" max="8" width="16.6640625" style="196" customWidth="1"/>
    <col min="9" max="9" width="8.1640625" style="195" customWidth="1"/>
    <col min="10" max="10" width="16.6640625" style="196" customWidth="1"/>
    <col min="11" max="11" width="8.1640625" style="195" customWidth="1"/>
    <col min="12" max="12" width="17.1640625" style="196" customWidth="1"/>
    <col min="13" max="13" width="8.1640625" style="195" customWidth="1"/>
    <col min="14" max="14" width="16.5" style="196" customWidth="1"/>
    <col min="15" max="15" width="8.1640625" style="195" customWidth="1"/>
    <col min="16" max="16" width="16.1640625" style="196" customWidth="1"/>
    <col min="17" max="17" width="8.1640625" style="195" customWidth="1"/>
    <col min="18" max="18" width="15.6640625" style="196" customWidth="1"/>
    <col min="19" max="19" width="8.1640625" style="195" customWidth="1"/>
    <col min="20" max="20" width="16" style="198" customWidth="1"/>
    <col min="21" max="21" width="8.6640625" style="195" customWidth="1"/>
    <col min="22" max="16384" width="10.6640625" style="198"/>
  </cols>
  <sheetData>
    <row r="2" spans="2:22" ht="19" thickBot="1" x14ac:dyDescent="0.25">
      <c r="B2" s="194" t="s">
        <v>97</v>
      </c>
      <c r="G2" s="197"/>
    </row>
    <row r="3" spans="2:22" ht="16.25" customHeight="1" thickBot="1" x14ac:dyDescent="0.2">
      <c r="B3" s="273" t="s">
        <v>84</v>
      </c>
      <c r="C3" s="274"/>
      <c r="D3" s="274"/>
      <c r="E3" s="274"/>
      <c r="F3" s="274"/>
      <c r="G3" s="274"/>
      <c r="H3" s="274"/>
      <c r="I3" s="274"/>
      <c r="J3" s="274"/>
      <c r="K3" s="274"/>
      <c r="L3" s="274"/>
      <c r="M3" s="274"/>
      <c r="N3" s="274"/>
      <c r="O3" s="274"/>
      <c r="P3" s="274"/>
      <c r="Q3" s="274"/>
      <c r="R3" s="274"/>
      <c r="S3" s="274"/>
      <c r="T3" s="274"/>
      <c r="U3" s="275"/>
    </row>
    <row r="4" spans="2:22" s="199" customFormat="1" ht="14" customHeight="1" x14ac:dyDescent="0.2">
      <c r="B4" s="161" t="s">
        <v>209</v>
      </c>
      <c r="C4" s="179"/>
      <c r="D4" s="161" t="s">
        <v>136</v>
      </c>
      <c r="E4" s="179"/>
      <c r="F4" s="162" t="s">
        <v>135</v>
      </c>
      <c r="G4" s="181"/>
      <c r="H4" s="161" t="s">
        <v>108</v>
      </c>
      <c r="I4" s="179"/>
      <c r="J4" s="161" t="s">
        <v>109</v>
      </c>
      <c r="K4" s="179"/>
      <c r="L4" s="161" t="s">
        <v>110</v>
      </c>
      <c r="M4" s="179"/>
      <c r="N4" s="161" t="s">
        <v>111</v>
      </c>
      <c r="O4" s="179"/>
      <c r="P4" s="161" t="s">
        <v>112</v>
      </c>
      <c r="Q4" s="179"/>
      <c r="R4" s="161" t="s">
        <v>132</v>
      </c>
      <c r="S4" s="179"/>
      <c r="T4" s="161" t="s">
        <v>137</v>
      </c>
      <c r="U4" s="179"/>
    </row>
    <row r="5" spans="2:22" s="202" customFormat="1" ht="30" x14ac:dyDescent="0.2">
      <c r="B5" s="200" t="s">
        <v>85</v>
      </c>
      <c r="C5" s="201" t="s">
        <v>86</v>
      </c>
      <c r="D5" s="200" t="s">
        <v>85</v>
      </c>
      <c r="E5" s="201" t="s">
        <v>86</v>
      </c>
      <c r="F5" s="200" t="s">
        <v>85</v>
      </c>
      <c r="G5" s="201" t="s">
        <v>86</v>
      </c>
      <c r="H5" s="200" t="s">
        <v>85</v>
      </c>
      <c r="I5" s="201" t="s">
        <v>86</v>
      </c>
      <c r="J5" s="200" t="s">
        <v>85</v>
      </c>
      <c r="K5" s="201" t="s">
        <v>86</v>
      </c>
      <c r="L5" s="200" t="s">
        <v>85</v>
      </c>
      <c r="M5" s="201" t="s">
        <v>86</v>
      </c>
      <c r="N5" s="200" t="s">
        <v>85</v>
      </c>
      <c r="O5" s="201" t="s">
        <v>86</v>
      </c>
      <c r="P5" s="200" t="s">
        <v>85</v>
      </c>
      <c r="Q5" s="201" t="s">
        <v>86</v>
      </c>
      <c r="R5" s="200" t="s">
        <v>85</v>
      </c>
      <c r="S5" s="201" t="s">
        <v>86</v>
      </c>
      <c r="T5" s="200" t="s">
        <v>85</v>
      </c>
      <c r="U5" s="201" t="s">
        <v>86</v>
      </c>
    </row>
    <row r="6" spans="2:22" s="202" customFormat="1" x14ac:dyDescent="0.2">
      <c r="B6" s="203"/>
      <c r="C6" s="204">
        <f>SUM(C7:C27)</f>
        <v>0</v>
      </c>
      <c r="D6" s="203"/>
      <c r="E6" s="204">
        <f>SUM(E7:E27)</f>
        <v>0</v>
      </c>
      <c r="F6" s="203"/>
      <c r="G6" s="204">
        <f>SUM(G7:G27)</f>
        <v>0</v>
      </c>
      <c r="H6" s="203"/>
      <c r="I6" s="204">
        <f>SUM(I7:I27)</f>
        <v>0</v>
      </c>
      <c r="J6" s="203"/>
      <c r="K6" s="204">
        <f>SUM(K7:K27)</f>
        <v>0</v>
      </c>
      <c r="L6" s="203"/>
      <c r="M6" s="204">
        <f>SUM(M7:M27)</f>
        <v>0</v>
      </c>
      <c r="N6" s="203"/>
      <c r="O6" s="204">
        <f>SUM(O7:O27)</f>
        <v>0</v>
      </c>
      <c r="P6" s="203"/>
      <c r="Q6" s="204">
        <f>SUM(Q7:Q27)</f>
        <v>0</v>
      </c>
      <c r="R6" s="203"/>
      <c r="S6" s="204">
        <f>SUM(S7:S27)</f>
        <v>0</v>
      </c>
      <c r="T6" s="203"/>
      <c r="U6" s="204">
        <f>SUM(U7:U27)</f>
        <v>0</v>
      </c>
      <c r="V6" s="205"/>
    </row>
    <row r="7" spans="2:22" x14ac:dyDescent="0.15">
      <c r="B7" s="32"/>
      <c r="C7" s="180"/>
      <c r="D7" s="32"/>
      <c r="E7" s="177"/>
      <c r="F7" s="32"/>
      <c r="G7" s="180"/>
      <c r="H7" s="32"/>
      <c r="I7" s="180"/>
      <c r="J7" s="32"/>
      <c r="K7" s="180"/>
      <c r="L7" s="32"/>
      <c r="M7" s="180"/>
      <c r="N7" s="32"/>
      <c r="O7" s="180"/>
      <c r="P7" s="32"/>
      <c r="Q7" s="180"/>
      <c r="R7" s="32"/>
      <c r="S7" s="180"/>
      <c r="T7" s="32"/>
      <c r="U7" s="180"/>
    </row>
    <row r="8" spans="2:22" x14ac:dyDescent="0.15">
      <c r="B8" s="32"/>
      <c r="C8" s="180"/>
      <c r="D8" s="32"/>
      <c r="E8" s="180"/>
      <c r="F8" s="32"/>
      <c r="G8" s="180"/>
      <c r="H8" s="32"/>
      <c r="I8" s="180"/>
      <c r="J8" s="32"/>
      <c r="K8" s="180"/>
      <c r="L8" s="32"/>
      <c r="M8" s="180"/>
      <c r="N8" s="105"/>
      <c r="O8" s="180"/>
      <c r="P8" s="105"/>
      <c r="Q8" s="180"/>
      <c r="R8" s="105"/>
      <c r="S8" s="180"/>
      <c r="T8" s="105"/>
      <c r="U8" s="180"/>
    </row>
    <row r="9" spans="2:22" x14ac:dyDescent="0.15">
      <c r="B9" s="32"/>
      <c r="C9" s="180"/>
      <c r="D9" s="32"/>
      <c r="E9" s="180"/>
      <c r="F9" s="32"/>
      <c r="G9" s="180"/>
      <c r="H9" s="32"/>
      <c r="I9" s="180"/>
      <c r="J9" s="32"/>
      <c r="K9" s="180"/>
      <c r="L9" s="32"/>
      <c r="M9" s="180"/>
      <c r="N9" s="105"/>
      <c r="O9" s="180"/>
      <c r="P9" s="105"/>
      <c r="Q9" s="180"/>
      <c r="R9" s="105"/>
      <c r="S9" s="180"/>
      <c r="T9" s="105"/>
      <c r="U9" s="180"/>
    </row>
    <row r="10" spans="2:22" x14ac:dyDescent="0.15">
      <c r="B10" s="32"/>
      <c r="C10" s="180"/>
      <c r="D10" s="32"/>
      <c r="E10" s="180"/>
      <c r="F10" s="32"/>
      <c r="G10" s="180"/>
      <c r="H10" s="32"/>
      <c r="I10" s="180"/>
      <c r="J10" s="105"/>
      <c r="K10" s="180"/>
      <c r="L10" s="105"/>
      <c r="M10" s="180"/>
      <c r="N10" s="105"/>
      <c r="O10" s="180"/>
      <c r="P10" s="105"/>
      <c r="Q10" s="180"/>
      <c r="R10" s="105"/>
      <c r="S10" s="180"/>
      <c r="T10" s="105"/>
      <c r="U10" s="180"/>
    </row>
    <row r="11" spans="2:22" x14ac:dyDescent="0.15">
      <c r="B11" s="32"/>
      <c r="C11" s="180"/>
      <c r="D11" s="32"/>
      <c r="E11" s="180"/>
      <c r="F11" s="105"/>
      <c r="G11" s="180"/>
      <c r="H11" s="105"/>
      <c r="I11" s="180"/>
      <c r="J11" s="105"/>
      <c r="K11" s="180"/>
      <c r="L11" s="105"/>
      <c r="M11" s="180"/>
      <c r="N11" s="105"/>
      <c r="O11" s="180"/>
      <c r="P11" s="105"/>
      <c r="Q11" s="180"/>
      <c r="R11" s="105"/>
      <c r="S11" s="180"/>
      <c r="T11" s="105"/>
      <c r="U11" s="180"/>
    </row>
    <row r="12" spans="2:22" x14ac:dyDescent="0.15">
      <c r="B12" s="105"/>
      <c r="C12" s="180"/>
      <c r="D12" s="32"/>
      <c r="E12" s="180"/>
      <c r="F12" s="105"/>
      <c r="G12" s="180"/>
      <c r="H12" s="105"/>
      <c r="I12" s="180"/>
      <c r="J12" s="105"/>
      <c r="K12" s="180"/>
      <c r="L12" s="105"/>
      <c r="M12" s="180"/>
      <c r="N12" s="105"/>
      <c r="O12" s="180"/>
      <c r="P12" s="105"/>
      <c r="Q12" s="180"/>
      <c r="R12" s="105"/>
      <c r="S12" s="180"/>
      <c r="T12" s="105"/>
      <c r="U12" s="180"/>
    </row>
    <row r="13" spans="2:22" x14ac:dyDescent="0.15">
      <c r="B13" s="105"/>
      <c r="C13" s="180"/>
      <c r="D13" s="105"/>
      <c r="E13" s="180"/>
      <c r="F13" s="105"/>
      <c r="G13" s="180"/>
      <c r="H13" s="105"/>
      <c r="I13" s="180"/>
      <c r="J13" s="105"/>
      <c r="K13" s="180"/>
      <c r="L13" s="105"/>
      <c r="M13" s="180"/>
      <c r="N13" s="105"/>
      <c r="O13" s="180"/>
      <c r="P13" s="105"/>
      <c r="Q13" s="180"/>
      <c r="R13" s="105"/>
      <c r="S13" s="180"/>
      <c r="T13" s="105"/>
      <c r="U13" s="180"/>
    </row>
    <row r="14" spans="2:22" x14ac:dyDescent="0.15">
      <c r="B14" s="105"/>
      <c r="C14" s="180"/>
      <c r="D14" s="105"/>
      <c r="E14" s="180"/>
      <c r="F14" s="105"/>
      <c r="G14" s="180"/>
      <c r="H14" s="105"/>
      <c r="I14" s="180"/>
      <c r="J14" s="105"/>
      <c r="K14" s="180"/>
      <c r="L14" s="105"/>
      <c r="M14" s="180"/>
      <c r="N14" s="105"/>
      <c r="O14" s="180"/>
      <c r="P14" s="105"/>
      <c r="Q14" s="180"/>
      <c r="R14" s="105"/>
      <c r="S14" s="180"/>
      <c r="T14" s="105"/>
      <c r="U14" s="180"/>
    </row>
    <row r="15" spans="2:22" x14ac:dyDescent="0.15">
      <c r="B15" s="105"/>
      <c r="C15" s="180"/>
      <c r="D15" s="105"/>
      <c r="E15" s="180"/>
      <c r="F15" s="105"/>
      <c r="G15" s="180"/>
      <c r="H15" s="105"/>
      <c r="I15" s="180"/>
      <c r="J15" s="105"/>
      <c r="K15" s="180"/>
      <c r="L15" s="105"/>
      <c r="M15" s="180"/>
      <c r="N15" s="105"/>
      <c r="O15" s="180"/>
      <c r="P15" s="105"/>
      <c r="Q15" s="180"/>
      <c r="R15" s="105"/>
      <c r="S15" s="180"/>
      <c r="T15" s="105"/>
      <c r="U15" s="180"/>
    </row>
    <row r="16" spans="2:22" x14ac:dyDescent="0.15">
      <c r="B16" s="105"/>
      <c r="C16" s="180"/>
      <c r="D16" s="105"/>
      <c r="E16" s="180"/>
      <c r="F16" s="105"/>
      <c r="G16" s="180"/>
      <c r="H16" s="105"/>
      <c r="I16" s="180"/>
      <c r="J16" s="105"/>
      <c r="K16" s="180"/>
      <c r="L16" s="105"/>
      <c r="M16" s="180"/>
      <c r="N16" s="105"/>
      <c r="O16" s="180"/>
      <c r="P16" s="105"/>
      <c r="Q16" s="180"/>
      <c r="R16" s="105"/>
      <c r="S16" s="180"/>
      <c r="T16" s="105"/>
      <c r="U16" s="180"/>
    </row>
    <row r="17" spans="2:21" x14ac:dyDescent="0.15">
      <c r="B17" s="105"/>
      <c r="C17" s="180"/>
      <c r="D17" s="105"/>
      <c r="E17" s="180"/>
      <c r="F17" s="105"/>
      <c r="G17" s="180"/>
      <c r="H17" s="105"/>
      <c r="I17" s="180"/>
      <c r="J17" s="105"/>
      <c r="K17" s="180"/>
      <c r="L17" s="105"/>
      <c r="M17" s="180"/>
      <c r="N17" s="105"/>
      <c r="O17" s="180"/>
      <c r="P17" s="105"/>
      <c r="Q17" s="180"/>
      <c r="R17" s="105"/>
      <c r="S17" s="180"/>
      <c r="T17" s="105"/>
      <c r="U17" s="180"/>
    </row>
    <row r="18" spans="2:21" x14ac:dyDescent="0.15">
      <c r="B18" s="105"/>
      <c r="C18" s="180"/>
      <c r="D18" s="105"/>
      <c r="E18" s="180"/>
      <c r="F18" s="105"/>
      <c r="G18" s="180"/>
      <c r="H18" s="105"/>
      <c r="I18" s="180"/>
      <c r="J18" s="105"/>
      <c r="K18" s="180"/>
      <c r="L18" s="105"/>
      <c r="M18" s="180"/>
      <c r="N18" s="105"/>
      <c r="O18" s="180"/>
      <c r="P18" s="105"/>
      <c r="Q18" s="180"/>
      <c r="R18" s="105"/>
      <c r="S18" s="180"/>
      <c r="T18" s="105"/>
      <c r="U18" s="180"/>
    </row>
    <row r="19" spans="2:21" x14ac:dyDescent="0.15">
      <c r="B19" s="105"/>
      <c r="C19" s="180"/>
      <c r="D19" s="105"/>
      <c r="E19" s="180"/>
      <c r="F19" s="105"/>
      <c r="G19" s="180"/>
      <c r="H19" s="105"/>
      <c r="I19" s="180"/>
      <c r="J19" s="105"/>
      <c r="K19" s="180"/>
      <c r="L19" s="105"/>
      <c r="M19" s="180"/>
      <c r="N19" s="105"/>
      <c r="O19" s="180"/>
      <c r="P19" s="105"/>
      <c r="Q19" s="180"/>
      <c r="R19" s="105"/>
      <c r="S19" s="180"/>
      <c r="T19" s="105"/>
      <c r="U19" s="180"/>
    </row>
    <row r="20" spans="2:21" x14ac:dyDescent="0.15">
      <c r="B20" s="105"/>
      <c r="C20" s="180"/>
      <c r="D20" s="105"/>
      <c r="E20" s="180"/>
      <c r="F20" s="105"/>
      <c r="G20" s="180"/>
      <c r="H20" s="105"/>
      <c r="I20" s="180"/>
      <c r="J20" s="105"/>
      <c r="K20" s="180"/>
      <c r="L20" s="105"/>
      <c r="M20" s="180"/>
      <c r="N20" s="105"/>
      <c r="O20" s="180"/>
      <c r="P20" s="105"/>
      <c r="Q20" s="180"/>
      <c r="R20" s="105"/>
      <c r="S20" s="180"/>
      <c r="T20" s="105"/>
      <c r="U20" s="180"/>
    </row>
    <row r="21" spans="2:21" x14ac:dyDescent="0.15">
      <c r="B21" s="105"/>
      <c r="C21" s="180"/>
      <c r="D21" s="105"/>
      <c r="E21" s="180"/>
      <c r="F21" s="105"/>
      <c r="G21" s="180"/>
      <c r="H21" s="105"/>
      <c r="I21" s="180"/>
      <c r="J21" s="105"/>
      <c r="K21" s="180"/>
      <c r="L21" s="105"/>
      <c r="M21" s="180"/>
      <c r="N21" s="105"/>
      <c r="O21" s="180"/>
      <c r="P21" s="105"/>
      <c r="Q21" s="180"/>
      <c r="R21" s="105"/>
      <c r="S21" s="180"/>
      <c r="T21" s="105"/>
      <c r="U21" s="180"/>
    </row>
    <row r="22" spans="2:21" x14ac:dyDescent="0.15">
      <c r="B22" s="105"/>
      <c r="C22" s="180"/>
      <c r="D22" s="105"/>
      <c r="E22" s="180"/>
      <c r="F22" s="105"/>
      <c r="G22" s="180"/>
      <c r="H22" s="105"/>
      <c r="I22" s="180"/>
      <c r="J22" s="105"/>
      <c r="K22" s="180"/>
      <c r="L22" s="105"/>
      <c r="M22" s="180"/>
      <c r="N22" s="105"/>
      <c r="O22" s="180"/>
      <c r="P22" s="105"/>
      <c r="Q22" s="180"/>
      <c r="R22" s="105"/>
      <c r="S22" s="180"/>
      <c r="T22" s="105"/>
      <c r="U22" s="180"/>
    </row>
    <row r="23" spans="2:21" x14ac:dyDescent="0.15">
      <c r="B23" s="105"/>
      <c r="C23" s="180"/>
      <c r="D23" s="105"/>
      <c r="E23" s="180"/>
      <c r="F23" s="105"/>
      <c r="G23" s="180"/>
      <c r="H23" s="105"/>
      <c r="I23" s="180"/>
      <c r="J23" s="105"/>
      <c r="K23" s="180"/>
      <c r="L23" s="105"/>
      <c r="M23" s="180"/>
      <c r="N23" s="105"/>
      <c r="O23" s="180"/>
      <c r="P23" s="105"/>
      <c r="Q23" s="180"/>
      <c r="R23" s="105"/>
      <c r="S23" s="180"/>
      <c r="T23" s="105"/>
      <c r="U23" s="180"/>
    </row>
    <row r="24" spans="2:21" x14ac:dyDescent="0.15">
      <c r="B24" s="105"/>
      <c r="C24" s="180"/>
      <c r="D24" s="105"/>
      <c r="E24" s="180"/>
      <c r="F24" s="105"/>
      <c r="G24" s="180"/>
      <c r="H24" s="105"/>
      <c r="I24" s="180"/>
      <c r="J24" s="105"/>
      <c r="K24" s="180"/>
      <c r="L24" s="105"/>
      <c r="M24" s="180"/>
      <c r="N24" s="105"/>
      <c r="O24" s="180"/>
      <c r="P24" s="105"/>
      <c r="Q24" s="180"/>
      <c r="R24" s="105"/>
      <c r="S24" s="180"/>
      <c r="T24" s="105"/>
      <c r="U24" s="180"/>
    </row>
    <row r="25" spans="2:21" x14ac:dyDescent="0.15">
      <c r="B25" s="105"/>
      <c r="C25" s="180"/>
      <c r="D25" s="105"/>
      <c r="E25" s="180"/>
      <c r="F25" s="105"/>
      <c r="G25" s="180"/>
      <c r="H25" s="105"/>
      <c r="I25" s="180"/>
      <c r="J25" s="105"/>
      <c r="K25" s="180"/>
      <c r="L25" s="105"/>
      <c r="M25" s="180"/>
      <c r="N25" s="105"/>
      <c r="O25" s="180"/>
      <c r="P25" s="105"/>
      <c r="Q25" s="180"/>
      <c r="R25" s="105"/>
      <c r="S25" s="180"/>
      <c r="T25" s="105"/>
      <c r="U25" s="180"/>
    </row>
    <row r="26" spans="2:21" x14ac:dyDescent="0.15">
      <c r="B26" s="105"/>
      <c r="C26" s="180"/>
      <c r="D26" s="105"/>
      <c r="E26" s="180"/>
      <c r="F26" s="105"/>
      <c r="G26" s="180"/>
      <c r="H26" s="105"/>
      <c r="I26" s="180"/>
      <c r="J26" s="105"/>
      <c r="K26" s="180"/>
      <c r="L26" s="105"/>
      <c r="M26" s="180"/>
      <c r="N26" s="105"/>
      <c r="O26" s="180"/>
      <c r="P26" s="105"/>
      <c r="Q26" s="180"/>
      <c r="R26" s="105"/>
      <c r="S26" s="180"/>
      <c r="T26" s="105"/>
      <c r="U26" s="180"/>
    </row>
    <row r="27" spans="2:21" x14ac:dyDescent="0.15">
      <c r="B27" s="105"/>
      <c r="C27" s="180"/>
      <c r="D27" s="105"/>
      <c r="E27" s="180"/>
      <c r="F27" s="105"/>
      <c r="G27" s="180"/>
      <c r="H27" s="105"/>
      <c r="I27" s="180"/>
      <c r="J27" s="105"/>
      <c r="K27" s="180"/>
      <c r="L27" s="105"/>
      <c r="M27" s="180"/>
      <c r="N27" s="105"/>
      <c r="O27" s="180"/>
      <c r="P27" s="105"/>
      <c r="Q27" s="180"/>
      <c r="R27" s="105"/>
      <c r="S27" s="180"/>
      <c r="T27" s="105"/>
      <c r="U27" s="180"/>
    </row>
    <row r="30" spans="2:21" s="2" customFormat="1" x14ac:dyDescent="0.15">
      <c r="B30" s="229" t="s">
        <v>207</v>
      </c>
      <c r="C30" s="27"/>
      <c r="D30" s="27"/>
      <c r="F30" s="27"/>
      <c r="G30" s="5"/>
      <c r="H30" s="5"/>
      <c r="I30" s="5"/>
      <c r="L30" s="27"/>
    </row>
  </sheetData>
  <customSheetViews>
    <customSheetView guid="{9603C630-F6C2-4E40-A837-290F953D6A2E}">
      <selection activeCell="I4" sqref="I4:J4"/>
      <pageMargins left="0.7" right="0.7" top="0.75" bottom="0.75" header="0.3" footer="0.3"/>
    </customSheetView>
  </customSheetViews>
  <mergeCells count="1">
    <mergeCell ref="B3:U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2:Q17"/>
  <sheetViews>
    <sheetView showGridLines="0" topLeftCell="A2" zoomScale="80" zoomScaleNormal="80" zoomScalePageLayoutView="125" workbookViewId="0">
      <selection activeCell="K38" sqref="K38"/>
    </sheetView>
  </sheetViews>
  <sheetFormatPr baseColWidth="10" defaultColWidth="10.6640625" defaultRowHeight="14" x14ac:dyDescent="0.15"/>
  <cols>
    <col min="1" max="1" width="23.1640625" style="2" customWidth="1"/>
    <col min="2" max="6" width="14.1640625" style="27" customWidth="1"/>
    <col min="7" max="9" width="14.1640625" style="5" customWidth="1"/>
    <col min="10" max="11" width="14.1640625" style="2" customWidth="1"/>
    <col min="12" max="12" width="14.1640625" style="27" customWidth="1"/>
    <col min="13" max="15" width="14.1640625" style="2" customWidth="1"/>
    <col min="16" max="16384" width="10.6640625" style="2"/>
  </cols>
  <sheetData>
    <row r="2" spans="1:17" ht="18" x14ac:dyDescent="0.2">
      <c r="A2" s="104" t="s">
        <v>95</v>
      </c>
    </row>
    <row r="4" spans="1:17" s="28" customFormat="1" ht="57" thickBot="1" x14ac:dyDescent="0.25">
      <c r="A4" s="182" t="s">
        <v>73</v>
      </c>
      <c r="B4" s="183" t="s">
        <v>74</v>
      </c>
      <c r="C4" s="183" t="s">
        <v>102</v>
      </c>
      <c r="D4" s="183" t="s">
        <v>114</v>
      </c>
      <c r="E4" s="183" t="s">
        <v>98</v>
      </c>
      <c r="F4" s="183" t="s">
        <v>65</v>
      </c>
      <c r="G4" s="147" t="s">
        <v>131</v>
      </c>
      <c r="H4" s="165" t="s">
        <v>145</v>
      </c>
      <c r="I4" s="147" t="s">
        <v>99</v>
      </c>
      <c r="J4" s="147" t="s">
        <v>88</v>
      </c>
      <c r="K4" s="147" t="s">
        <v>116</v>
      </c>
      <c r="L4" s="183" t="s">
        <v>87</v>
      </c>
      <c r="M4" s="147" t="s">
        <v>100</v>
      </c>
      <c r="N4" s="147" t="s">
        <v>117</v>
      </c>
      <c r="O4" s="183" t="s">
        <v>156</v>
      </c>
    </row>
    <row r="5" spans="1:17" s="29" customFormat="1" ht="15" x14ac:dyDescent="0.2">
      <c r="B5" s="30"/>
      <c r="C5" s="30"/>
      <c r="D5" s="30"/>
      <c r="E5" s="30"/>
      <c r="F5" s="30"/>
      <c r="H5" s="163">
        <f>SUM('Durée Prod'!G20)</f>
        <v>93</v>
      </c>
      <c r="J5" s="31">
        <f>SUM(J6:J15)</f>
        <v>0</v>
      </c>
      <c r="K5" s="31">
        <f t="shared" ref="K5:N5" si="0">SUM(K6:K15)</f>
        <v>0</v>
      </c>
      <c r="L5" s="31">
        <f t="shared" si="0"/>
        <v>0</v>
      </c>
      <c r="M5" s="31">
        <f>SUM(M6:M15)</f>
        <v>0</v>
      </c>
      <c r="N5" s="31">
        <f t="shared" si="0"/>
        <v>0</v>
      </c>
      <c r="O5" s="31">
        <f>SUM(O6:O15)</f>
        <v>0</v>
      </c>
      <c r="Q5" s="206" t="s">
        <v>103</v>
      </c>
    </row>
    <row r="6" spans="1:17" x14ac:dyDescent="0.15">
      <c r="A6" s="160" t="str">
        <f>Prod1</f>
        <v>Produit 1</v>
      </c>
      <c r="B6" s="32">
        <v>0</v>
      </c>
      <c r="C6" s="184">
        <v>0.21</v>
      </c>
      <c r="D6" s="33">
        <f>B6/(1+C6)</f>
        <v>0</v>
      </c>
      <c r="E6" s="144">
        <f>'Frais d''approvisionnement'!C6</f>
        <v>0</v>
      </c>
      <c r="F6" s="33">
        <f t="shared" ref="F6:F14" si="1">D6-E6</f>
        <v>0</v>
      </c>
      <c r="G6" s="159"/>
      <c r="H6" s="143">
        <f>SUM('Durée Prod'!G3)</f>
        <v>0</v>
      </c>
      <c r="I6" s="143">
        <f>SUM(G6*12)</f>
        <v>0</v>
      </c>
      <c r="J6" s="33">
        <f t="shared" ref="J6:J15" si="2">G6*D6</f>
        <v>0</v>
      </c>
      <c r="K6" s="33">
        <f t="shared" ref="K6:K15" si="3">G6*E6</f>
        <v>0</v>
      </c>
      <c r="L6" s="33">
        <f t="shared" ref="L6:L15" si="4">F6*G6</f>
        <v>0</v>
      </c>
      <c r="M6" s="33">
        <f>J6*12</f>
        <v>0</v>
      </c>
      <c r="N6" s="33">
        <f t="shared" ref="N6:O6" si="5">K6*12</f>
        <v>0</v>
      </c>
      <c r="O6" s="33">
        <f t="shared" si="5"/>
        <v>0</v>
      </c>
      <c r="Q6" s="207">
        <v>0</v>
      </c>
    </row>
    <row r="7" spans="1:17" x14ac:dyDescent="0.15">
      <c r="A7" s="160" t="str">
        <f>Prod2</f>
        <v>Produit 2</v>
      </c>
      <c r="B7" s="32">
        <v>0</v>
      </c>
      <c r="C7" s="184">
        <v>0.21</v>
      </c>
      <c r="D7" s="33">
        <f t="shared" ref="D7:D14" si="6">B7/(1+C7)</f>
        <v>0</v>
      </c>
      <c r="E7" s="144">
        <f>'Frais d''approvisionnement'!E6</f>
        <v>0</v>
      </c>
      <c r="F7" s="33">
        <f t="shared" si="1"/>
        <v>0</v>
      </c>
      <c r="G7" s="159"/>
      <c r="H7" s="143">
        <f>SUM('Durée Prod'!G4)</f>
        <v>0</v>
      </c>
      <c r="I7" s="143">
        <f t="shared" ref="I7:I14" si="7">SUM(G7*12)</f>
        <v>0</v>
      </c>
      <c r="J7" s="33">
        <f t="shared" si="2"/>
        <v>0</v>
      </c>
      <c r="K7" s="33">
        <f t="shared" si="3"/>
        <v>0</v>
      </c>
      <c r="L7" s="33">
        <f t="shared" si="4"/>
        <v>0</v>
      </c>
      <c r="M7" s="33">
        <f t="shared" ref="M7:M14" si="8">J7*12</f>
        <v>0</v>
      </c>
      <c r="N7" s="33">
        <f t="shared" ref="N7:N14" si="9">K7*12</f>
        <v>0</v>
      </c>
      <c r="O7" s="33">
        <f t="shared" ref="O7:O14" si="10">L7*12</f>
        <v>0</v>
      </c>
      <c r="Q7" s="207">
        <v>0.06</v>
      </c>
    </row>
    <row r="8" spans="1:17" x14ac:dyDescent="0.15">
      <c r="A8" s="160" t="str">
        <f>Prod3</f>
        <v>Produit 3</v>
      </c>
      <c r="B8" s="32">
        <v>0</v>
      </c>
      <c r="C8" s="184">
        <v>0.21</v>
      </c>
      <c r="D8" s="33">
        <f t="shared" si="6"/>
        <v>0</v>
      </c>
      <c r="E8" s="144">
        <f>'Frais d''approvisionnement'!G6</f>
        <v>0</v>
      </c>
      <c r="F8" s="33">
        <f t="shared" si="1"/>
        <v>0</v>
      </c>
      <c r="G8" s="159"/>
      <c r="H8" s="143">
        <f>SUM('Durée Prod'!G5)</f>
        <v>0</v>
      </c>
      <c r="I8" s="143">
        <f t="shared" si="7"/>
        <v>0</v>
      </c>
      <c r="J8" s="33">
        <f t="shared" si="2"/>
        <v>0</v>
      </c>
      <c r="K8" s="33">
        <f t="shared" si="3"/>
        <v>0</v>
      </c>
      <c r="L8" s="33">
        <f t="shared" si="4"/>
        <v>0</v>
      </c>
      <c r="M8" s="33">
        <f t="shared" si="8"/>
        <v>0</v>
      </c>
      <c r="N8" s="33">
        <f t="shared" si="9"/>
        <v>0</v>
      </c>
      <c r="O8" s="33">
        <f t="shared" si="10"/>
        <v>0</v>
      </c>
      <c r="Q8" s="207">
        <v>0.12</v>
      </c>
    </row>
    <row r="9" spans="1:17" ht="15" thickBot="1" x14ac:dyDescent="0.2">
      <c r="A9" s="160" t="str">
        <f>Prod4</f>
        <v>Produit 4</v>
      </c>
      <c r="B9" s="32">
        <v>0</v>
      </c>
      <c r="C9" s="184">
        <v>0.21</v>
      </c>
      <c r="D9" s="33">
        <f t="shared" si="6"/>
        <v>0</v>
      </c>
      <c r="E9" s="144">
        <f>'Frais d''approvisionnement'!I6</f>
        <v>0</v>
      </c>
      <c r="F9" s="33">
        <f t="shared" si="1"/>
        <v>0</v>
      </c>
      <c r="G9" s="159"/>
      <c r="H9" s="143">
        <f>SUM('Durée Prod'!G6)</f>
        <v>0</v>
      </c>
      <c r="I9" s="143">
        <f t="shared" si="7"/>
        <v>0</v>
      </c>
      <c r="J9" s="33">
        <f t="shared" si="2"/>
        <v>0</v>
      </c>
      <c r="K9" s="33">
        <f t="shared" si="3"/>
        <v>0</v>
      </c>
      <c r="L9" s="33">
        <f t="shared" si="4"/>
        <v>0</v>
      </c>
      <c r="M9" s="33">
        <f t="shared" si="8"/>
        <v>0</v>
      </c>
      <c r="N9" s="33">
        <f t="shared" si="9"/>
        <v>0</v>
      </c>
      <c r="O9" s="33">
        <f t="shared" si="10"/>
        <v>0</v>
      </c>
      <c r="Q9" s="208">
        <v>0.21</v>
      </c>
    </row>
    <row r="10" spans="1:17" x14ac:dyDescent="0.15">
      <c r="A10" s="160" t="str">
        <f>Prod5</f>
        <v>Produit 5</v>
      </c>
      <c r="B10" s="32">
        <v>0</v>
      </c>
      <c r="C10" s="184">
        <v>0.21</v>
      </c>
      <c r="D10" s="33">
        <f t="shared" si="6"/>
        <v>0</v>
      </c>
      <c r="E10" s="144">
        <f>'Frais d''approvisionnement'!K6</f>
        <v>0</v>
      </c>
      <c r="F10" s="33">
        <f t="shared" si="1"/>
        <v>0</v>
      </c>
      <c r="G10" s="159"/>
      <c r="H10" s="143">
        <f>SUM('Durée Prod'!G7)</f>
        <v>0</v>
      </c>
      <c r="I10" s="143">
        <f t="shared" si="7"/>
        <v>0</v>
      </c>
      <c r="J10" s="33">
        <f t="shared" si="2"/>
        <v>0</v>
      </c>
      <c r="K10" s="33">
        <f t="shared" si="3"/>
        <v>0</v>
      </c>
      <c r="L10" s="33">
        <f t="shared" si="4"/>
        <v>0</v>
      </c>
      <c r="M10" s="33">
        <f t="shared" si="8"/>
        <v>0</v>
      </c>
      <c r="N10" s="33">
        <f t="shared" si="9"/>
        <v>0</v>
      </c>
      <c r="O10" s="33">
        <f t="shared" si="10"/>
        <v>0</v>
      </c>
    </row>
    <row r="11" spans="1:17" x14ac:dyDescent="0.15">
      <c r="A11" s="160" t="str">
        <f>Prod6</f>
        <v>Produit 6</v>
      </c>
      <c r="B11" s="32">
        <v>0</v>
      </c>
      <c r="C11" s="184">
        <v>0.21</v>
      </c>
      <c r="D11" s="33">
        <f t="shared" si="6"/>
        <v>0</v>
      </c>
      <c r="E11" s="144">
        <f>'Frais d''approvisionnement'!M6</f>
        <v>0</v>
      </c>
      <c r="F11" s="33">
        <f t="shared" si="1"/>
        <v>0</v>
      </c>
      <c r="G11" s="159"/>
      <c r="H11" s="143">
        <f>SUM('Durée Prod'!G8)</f>
        <v>0</v>
      </c>
      <c r="I11" s="143">
        <f t="shared" si="7"/>
        <v>0</v>
      </c>
      <c r="J11" s="33">
        <f t="shared" si="2"/>
        <v>0</v>
      </c>
      <c r="K11" s="33">
        <f t="shared" si="3"/>
        <v>0</v>
      </c>
      <c r="L11" s="33">
        <f t="shared" si="4"/>
        <v>0</v>
      </c>
      <c r="M11" s="33">
        <f t="shared" si="8"/>
        <v>0</v>
      </c>
      <c r="N11" s="33">
        <f t="shared" si="9"/>
        <v>0</v>
      </c>
      <c r="O11" s="33">
        <f t="shared" si="10"/>
        <v>0</v>
      </c>
    </row>
    <row r="12" spans="1:17" x14ac:dyDescent="0.15">
      <c r="A12" s="160" t="str">
        <f>Prod7</f>
        <v>Produit 7</v>
      </c>
      <c r="B12" s="32">
        <v>0</v>
      </c>
      <c r="C12" s="184">
        <v>0.21</v>
      </c>
      <c r="D12" s="33">
        <f t="shared" si="6"/>
        <v>0</v>
      </c>
      <c r="E12" s="144">
        <f>'Frais d''approvisionnement'!O6</f>
        <v>0</v>
      </c>
      <c r="F12" s="33">
        <f t="shared" si="1"/>
        <v>0</v>
      </c>
      <c r="G12" s="159"/>
      <c r="H12" s="143">
        <f>SUM('Durée Prod'!G9)</f>
        <v>0</v>
      </c>
      <c r="I12" s="143">
        <f t="shared" si="7"/>
        <v>0</v>
      </c>
      <c r="J12" s="33">
        <f t="shared" si="2"/>
        <v>0</v>
      </c>
      <c r="K12" s="33">
        <f t="shared" si="3"/>
        <v>0</v>
      </c>
      <c r="L12" s="33">
        <f t="shared" si="4"/>
        <v>0</v>
      </c>
      <c r="M12" s="33">
        <f t="shared" si="8"/>
        <v>0</v>
      </c>
      <c r="N12" s="33">
        <f t="shared" si="9"/>
        <v>0</v>
      </c>
      <c r="O12" s="33">
        <f t="shared" si="10"/>
        <v>0</v>
      </c>
    </row>
    <row r="13" spans="1:17" x14ac:dyDescent="0.15">
      <c r="A13" s="160" t="str">
        <f>Prod8</f>
        <v>Produit 8</v>
      </c>
      <c r="B13" s="32">
        <v>0</v>
      </c>
      <c r="C13" s="184">
        <v>0.21</v>
      </c>
      <c r="D13" s="33">
        <f t="shared" si="6"/>
        <v>0</v>
      </c>
      <c r="E13" s="144">
        <f>'Frais d''approvisionnement'!Q6</f>
        <v>0</v>
      </c>
      <c r="F13" s="33">
        <f t="shared" si="1"/>
        <v>0</v>
      </c>
      <c r="G13" s="159"/>
      <c r="H13" s="143">
        <f>SUM('Durée Prod'!G10)</f>
        <v>0</v>
      </c>
      <c r="I13" s="143">
        <f t="shared" si="7"/>
        <v>0</v>
      </c>
      <c r="J13" s="33">
        <f t="shared" si="2"/>
        <v>0</v>
      </c>
      <c r="K13" s="33">
        <f t="shared" si="3"/>
        <v>0</v>
      </c>
      <c r="L13" s="33">
        <f t="shared" si="4"/>
        <v>0</v>
      </c>
      <c r="M13" s="33">
        <f t="shared" si="8"/>
        <v>0</v>
      </c>
      <c r="N13" s="33">
        <f t="shared" si="9"/>
        <v>0</v>
      </c>
      <c r="O13" s="33">
        <f t="shared" si="10"/>
        <v>0</v>
      </c>
    </row>
    <row r="14" spans="1:17" x14ac:dyDescent="0.15">
      <c r="A14" s="160" t="str">
        <f>Prod9</f>
        <v>Produit 9</v>
      </c>
      <c r="B14" s="32">
        <v>0</v>
      </c>
      <c r="C14" s="184">
        <v>0.21</v>
      </c>
      <c r="D14" s="33">
        <f t="shared" si="6"/>
        <v>0</v>
      </c>
      <c r="E14" s="144">
        <f>'Frais d''approvisionnement'!S6</f>
        <v>0</v>
      </c>
      <c r="F14" s="33">
        <f t="shared" si="1"/>
        <v>0</v>
      </c>
      <c r="G14" s="159"/>
      <c r="H14" s="143">
        <f>SUM('Durée Prod'!G11)</f>
        <v>0</v>
      </c>
      <c r="I14" s="143">
        <f t="shared" si="7"/>
        <v>0</v>
      </c>
      <c r="J14" s="33">
        <f t="shared" si="2"/>
        <v>0</v>
      </c>
      <c r="K14" s="33">
        <f t="shared" si="3"/>
        <v>0</v>
      </c>
      <c r="L14" s="33">
        <f t="shared" si="4"/>
        <v>0</v>
      </c>
      <c r="M14" s="33">
        <f t="shared" si="8"/>
        <v>0</v>
      </c>
      <c r="N14" s="33">
        <f t="shared" si="9"/>
        <v>0</v>
      </c>
      <c r="O14" s="33">
        <f t="shared" si="10"/>
        <v>0</v>
      </c>
    </row>
    <row r="15" spans="1:17" x14ac:dyDescent="0.15">
      <c r="A15" s="160" t="str">
        <f>Prod10</f>
        <v>Produit 10</v>
      </c>
      <c r="B15" s="32">
        <v>0</v>
      </c>
      <c r="C15" s="184">
        <v>0.21</v>
      </c>
      <c r="D15" s="33">
        <f t="shared" ref="D15" si="11">B15/(1+C15)</f>
        <v>0</v>
      </c>
      <c r="E15" s="144">
        <f>'Frais d''approvisionnement'!U6</f>
        <v>0</v>
      </c>
      <c r="F15" s="33">
        <f t="shared" ref="F15" si="12">D15-E15</f>
        <v>0</v>
      </c>
      <c r="G15" s="159"/>
      <c r="H15" s="143">
        <f>SUM('Durée Prod'!G12)</f>
        <v>0</v>
      </c>
      <c r="I15" s="143">
        <f>SUM(G15*12)</f>
        <v>0</v>
      </c>
      <c r="J15" s="33">
        <f t="shared" si="2"/>
        <v>0</v>
      </c>
      <c r="K15" s="33">
        <f t="shared" si="3"/>
        <v>0</v>
      </c>
      <c r="L15" s="33">
        <f t="shared" si="4"/>
        <v>0</v>
      </c>
      <c r="M15" s="33">
        <f t="shared" ref="M15" si="13">J15*12</f>
        <v>0</v>
      </c>
      <c r="N15" s="33">
        <f t="shared" ref="N15" si="14">K15*12</f>
        <v>0</v>
      </c>
      <c r="O15" s="33">
        <f t="shared" ref="O15" si="15">L15*12</f>
        <v>0</v>
      </c>
    </row>
    <row r="16" spans="1:17" x14ac:dyDescent="0.15">
      <c r="H16" s="148"/>
    </row>
    <row r="17" spans="1:5" x14ac:dyDescent="0.15">
      <c r="A17" s="229" t="s">
        <v>208</v>
      </c>
      <c r="E17" s="229"/>
    </row>
  </sheetData>
  <customSheetViews>
    <customSheetView guid="{9603C630-F6C2-4E40-A837-290F953D6A2E}" scale="125" showGridLines="0" topLeftCell="A4">
      <selection activeCell="C4" sqref="C4:E15"/>
      <pageMargins left="0.75" right="0.75" top="1" bottom="1" header="0.5" footer="0.5"/>
      <pageSetup paperSize="9" orientation="portrait" horizontalDpi="4294967292" verticalDpi="4294967292" r:id="rId1"/>
    </customSheetView>
  </customSheetViews>
  <dataValidations count="1">
    <dataValidation type="list" allowBlank="1" showInputMessage="1" showErrorMessage="1" sqref="C6:C15" xr:uid="{00000000-0002-0000-0400-000000000000}">
      <formula1>$Q$6:$Q$9</formula1>
    </dataValidation>
  </dataValidations>
  <pageMargins left="0.75" right="0.75" top="1" bottom="1" header="0.5" footer="0.5"/>
  <pageSetup paperSize="9" orientation="portrait" horizontalDpi="4294967292" verticalDpi="4294967292" r:id="rId2"/>
  <legacyDrawing r:id="rId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5F455-CCBA-4CC4-B9A6-66EC85CC22B6}">
  <sheetPr>
    <tabColor theme="7" tint="0.79998168889431442"/>
  </sheetPr>
  <dimension ref="A1:AN90"/>
  <sheetViews>
    <sheetView zoomScaleNormal="100" workbookViewId="0">
      <selection activeCell="C3" sqref="C3"/>
    </sheetView>
  </sheetViews>
  <sheetFormatPr baseColWidth="10" defaultColWidth="11.1640625" defaultRowHeight="16" x14ac:dyDescent="0.2"/>
  <cols>
    <col min="2" max="2" width="41.83203125" customWidth="1"/>
    <col min="3" max="3" width="14" customWidth="1"/>
    <col min="4" max="4" width="14.33203125" customWidth="1"/>
    <col min="5" max="5" width="16.1640625" customWidth="1"/>
    <col min="6" max="7" width="16.1640625" style="158" customWidth="1"/>
    <col min="8" max="8" width="16.1640625" customWidth="1"/>
    <col min="9" max="9" width="15.1640625" style="158" customWidth="1"/>
  </cols>
  <sheetData>
    <row r="1" spans="1:40" ht="17" thickBot="1" x14ac:dyDescent="0.25">
      <c r="A1" s="225"/>
      <c r="B1" s="225"/>
      <c r="C1" s="225"/>
      <c r="D1" s="225"/>
      <c r="E1" s="225"/>
      <c r="F1" s="226"/>
      <c r="G1" s="226"/>
      <c r="H1" s="225"/>
      <c r="I1" s="226"/>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c r="AK1" s="225"/>
      <c r="AL1" s="225"/>
      <c r="AM1" s="225"/>
      <c r="AN1" s="225"/>
    </row>
    <row r="2" spans="1:40" ht="72" customHeight="1" thickBot="1" x14ac:dyDescent="0.25">
      <c r="A2" s="225"/>
      <c r="B2" s="209" t="s">
        <v>176</v>
      </c>
      <c r="C2" s="233" t="s">
        <v>139</v>
      </c>
      <c r="D2" s="234" t="s">
        <v>130</v>
      </c>
      <c r="E2" s="234" t="s">
        <v>133</v>
      </c>
      <c r="F2" s="234" t="s">
        <v>134</v>
      </c>
      <c r="G2" s="234" t="s">
        <v>140</v>
      </c>
      <c r="H2" s="235" t="s">
        <v>181</v>
      </c>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row>
    <row r="3" spans="1:40" x14ac:dyDescent="0.2">
      <c r="A3" s="225"/>
      <c r="B3" s="213" t="str">
        <f>Prod1</f>
        <v>Produit 1</v>
      </c>
      <c r="C3" s="215"/>
      <c r="D3" s="210" t="s">
        <v>129</v>
      </c>
      <c r="E3" s="211">
        <f>'CA et Marge Brute'!G6</f>
        <v>0</v>
      </c>
      <c r="F3" s="212">
        <f>E3/D3</f>
        <v>0</v>
      </c>
      <c r="G3" s="212">
        <f>C3*F3</f>
        <v>0</v>
      </c>
      <c r="H3" s="242">
        <f>IF(F3=0,0,'CA et Marge Brute'!L6/'Durée Prod'!G3)</f>
        <v>0</v>
      </c>
      <c r="I3" s="225"/>
      <c r="J3" s="225"/>
      <c r="K3" s="225"/>
      <c r="L3" s="225"/>
      <c r="M3" s="225"/>
      <c r="N3" s="225"/>
      <c r="O3" s="225"/>
      <c r="P3" s="225"/>
      <c r="Q3" s="225"/>
      <c r="R3" s="225"/>
      <c r="S3" s="225"/>
      <c r="T3" s="225"/>
      <c r="U3" s="225"/>
      <c r="V3" s="225"/>
      <c r="W3" s="225"/>
      <c r="X3" s="225"/>
      <c r="Y3" s="225"/>
      <c r="Z3" s="225"/>
      <c r="AA3" s="225"/>
      <c r="AB3" s="225"/>
      <c r="AC3" s="225"/>
      <c r="AD3" s="225"/>
      <c r="AE3" s="225"/>
      <c r="AF3" s="225"/>
      <c r="AG3" s="225"/>
      <c r="AH3" s="225"/>
    </row>
    <row r="4" spans="1:40" x14ac:dyDescent="0.2">
      <c r="A4" s="225"/>
      <c r="B4" s="214" t="str">
        <f>Prod2</f>
        <v>Produit 2</v>
      </c>
      <c r="C4" s="216"/>
      <c r="D4" s="154" t="s">
        <v>129</v>
      </c>
      <c r="E4" s="155">
        <f>'CA et Marge Brute'!G7</f>
        <v>0</v>
      </c>
      <c r="F4" s="156">
        <f>E4/D4</f>
        <v>0</v>
      </c>
      <c r="G4" s="156">
        <f>C4*F4</f>
        <v>0</v>
      </c>
      <c r="H4" s="253">
        <f>IF(F4=0,0,'CA et Marge Brute'!L7/'Durée Prod'!G4)</f>
        <v>0</v>
      </c>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row>
    <row r="5" spans="1:40" x14ac:dyDescent="0.2">
      <c r="A5" s="225"/>
      <c r="B5" s="214" t="str">
        <f>Prod3</f>
        <v>Produit 3</v>
      </c>
      <c r="C5" s="216"/>
      <c r="D5" s="154" t="s">
        <v>129</v>
      </c>
      <c r="E5" s="155">
        <f>'CA et Marge Brute'!G8</f>
        <v>0</v>
      </c>
      <c r="F5" s="156">
        <f>E5/D5</f>
        <v>0</v>
      </c>
      <c r="G5" s="156">
        <f>C5*F5</f>
        <v>0</v>
      </c>
      <c r="H5" s="253">
        <f>IF(F5=0,0,'CA et Marge Brute'!L8/'Durée Prod'!G5)</f>
        <v>0</v>
      </c>
      <c r="I5" s="225"/>
      <c r="J5" s="225"/>
      <c r="K5" s="225"/>
      <c r="L5" s="225"/>
      <c r="M5" s="225"/>
      <c r="N5" s="225"/>
      <c r="O5" s="225"/>
      <c r="P5" s="225"/>
      <c r="Q5" s="225"/>
      <c r="R5" s="225"/>
      <c r="S5" s="225"/>
      <c r="T5" s="225"/>
      <c r="U5" s="225"/>
      <c r="V5" s="225"/>
      <c r="W5" s="225"/>
      <c r="X5" s="225"/>
      <c r="Y5" s="225"/>
      <c r="Z5" s="225"/>
      <c r="AA5" s="225"/>
      <c r="AB5" s="225"/>
      <c r="AC5" s="225"/>
      <c r="AD5" s="225"/>
      <c r="AE5" s="225"/>
      <c r="AF5" s="225"/>
      <c r="AG5" s="225"/>
      <c r="AH5" s="225"/>
    </row>
    <row r="6" spans="1:40" x14ac:dyDescent="0.2">
      <c r="A6" s="225"/>
      <c r="B6" s="214" t="str">
        <f>Prod4</f>
        <v>Produit 4</v>
      </c>
      <c r="C6" s="216"/>
      <c r="D6" s="154" t="s">
        <v>129</v>
      </c>
      <c r="E6" s="155">
        <f>'CA et Marge Brute'!G9</f>
        <v>0</v>
      </c>
      <c r="F6" s="156">
        <f t="shared" ref="F6:F12" si="0">E6/D6</f>
        <v>0</v>
      </c>
      <c r="G6" s="156">
        <f t="shared" ref="G6:G12" si="1">C6*F6</f>
        <v>0</v>
      </c>
      <c r="H6" s="253">
        <f>IF(F6=0,0,'CA et Marge Brute'!L9/'Durée Prod'!G6)</f>
        <v>0</v>
      </c>
      <c r="I6" s="225"/>
      <c r="J6" s="225"/>
      <c r="K6" s="225"/>
      <c r="L6" s="225"/>
      <c r="M6" s="225"/>
      <c r="N6" s="225"/>
      <c r="O6" s="225"/>
      <c r="P6" s="225"/>
      <c r="Q6" s="225"/>
      <c r="R6" s="225"/>
      <c r="S6" s="225"/>
      <c r="T6" s="225"/>
      <c r="U6" s="225"/>
      <c r="V6" s="225"/>
      <c r="W6" s="225"/>
      <c r="X6" s="225"/>
      <c r="Y6" s="225"/>
      <c r="Z6" s="225"/>
      <c r="AA6" s="225"/>
      <c r="AB6" s="225"/>
      <c r="AC6" s="225"/>
      <c r="AD6" s="225"/>
      <c r="AE6" s="225"/>
      <c r="AF6" s="225"/>
      <c r="AG6" s="225"/>
      <c r="AH6" s="225"/>
    </row>
    <row r="7" spans="1:40" x14ac:dyDescent="0.2">
      <c r="A7" s="225"/>
      <c r="B7" s="214" t="str">
        <f>Prod5</f>
        <v>Produit 5</v>
      </c>
      <c r="C7" s="216"/>
      <c r="D7" s="154" t="s">
        <v>129</v>
      </c>
      <c r="E7" s="155">
        <f>'CA et Marge Brute'!G10</f>
        <v>0</v>
      </c>
      <c r="F7" s="156">
        <f t="shared" si="0"/>
        <v>0</v>
      </c>
      <c r="G7" s="156">
        <f t="shared" si="1"/>
        <v>0</v>
      </c>
      <c r="H7" s="253">
        <f>IF(F7=0,0,'CA et Marge Brute'!L10/'Durée Prod'!G7)</f>
        <v>0</v>
      </c>
      <c r="I7" s="225"/>
      <c r="J7" s="225"/>
      <c r="K7" s="225"/>
      <c r="L7" s="225"/>
      <c r="M7" s="225"/>
      <c r="N7" s="225"/>
      <c r="O7" s="225"/>
      <c r="P7" s="225"/>
      <c r="Q7" s="225"/>
      <c r="R7" s="225"/>
      <c r="S7" s="225"/>
      <c r="T7" s="225"/>
      <c r="U7" s="225"/>
      <c r="V7" s="225"/>
      <c r="W7" s="225"/>
      <c r="X7" s="225"/>
      <c r="Y7" s="225"/>
      <c r="Z7" s="225"/>
      <c r="AA7" s="225"/>
      <c r="AB7" s="225"/>
      <c r="AC7" s="225"/>
      <c r="AD7" s="225"/>
      <c r="AE7" s="225"/>
      <c r="AF7" s="225"/>
      <c r="AG7" s="225"/>
      <c r="AH7" s="225"/>
    </row>
    <row r="8" spans="1:40" x14ac:dyDescent="0.2">
      <c r="A8" s="225"/>
      <c r="B8" s="214" t="str">
        <f>Prod6</f>
        <v>Produit 6</v>
      </c>
      <c r="C8" s="216"/>
      <c r="D8" s="154" t="s">
        <v>129</v>
      </c>
      <c r="E8" s="155">
        <f>'CA et Marge Brute'!G11</f>
        <v>0</v>
      </c>
      <c r="F8" s="156">
        <f t="shared" si="0"/>
        <v>0</v>
      </c>
      <c r="G8" s="156">
        <f t="shared" si="1"/>
        <v>0</v>
      </c>
      <c r="H8" s="253">
        <f>IF(F8=0,0,'CA et Marge Brute'!L11/'Durée Prod'!G8)</f>
        <v>0</v>
      </c>
      <c r="I8" s="225"/>
      <c r="J8" s="225"/>
      <c r="K8" s="225"/>
      <c r="L8" s="225"/>
      <c r="M8" s="225"/>
      <c r="N8" s="225"/>
      <c r="O8" s="225"/>
      <c r="P8" s="225"/>
      <c r="Q8" s="225"/>
      <c r="R8" s="225"/>
      <c r="S8" s="225"/>
      <c r="T8" s="225"/>
      <c r="U8" s="225"/>
      <c r="V8" s="225"/>
      <c r="W8" s="225"/>
      <c r="X8" s="225"/>
      <c r="Y8" s="225"/>
      <c r="Z8" s="225"/>
      <c r="AA8" s="225"/>
      <c r="AB8" s="225"/>
      <c r="AC8" s="225"/>
      <c r="AD8" s="225"/>
      <c r="AE8" s="225"/>
      <c r="AF8" s="225"/>
      <c r="AG8" s="225"/>
      <c r="AH8" s="225"/>
    </row>
    <row r="9" spans="1:40" x14ac:dyDescent="0.2">
      <c r="A9" s="225"/>
      <c r="B9" s="214" t="str">
        <f>Prod7</f>
        <v>Produit 7</v>
      </c>
      <c r="C9" s="216"/>
      <c r="D9" s="154" t="s">
        <v>129</v>
      </c>
      <c r="E9" s="155">
        <f>'CA et Marge Brute'!G12</f>
        <v>0</v>
      </c>
      <c r="F9" s="156">
        <f t="shared" si="0"/>
        <v>0</v>
      </c>
      <c r="G9" s="156">
        <f t="shared" si="1"/>
        <v>0</v>
      </c>
      <c r="H9" s="253">
        <f>IF(F9=0,0,'CA et Marge Brute'!L12/'Durée Prod'!G9)</f>
        <v>0</v>
      </c>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5"/>
      <c r="AH9" s="225"/>
    </row>
    <row r="10" spans="1:40" x14ac:dyDescent="0.2">
      <c r="A10" s="225"/>
      <c r="B10" s="214" t="str">
        <f>Prod8</f>
        <v>Produit 8</v>
      </c>
      <c r="C10" s="216"/>
      <c r="D10" s="154" t="s">
        <v>129</v>
      </c>
      <c r="E10" s="155">
        <f>'CA et Marge Brute'!G13</f>
        <v>0</v>
      </c>
      <c r="F10" s="156">
        <f t="shared" si="0"/>
        <v>0</v>
      </c>
      <c r="G10" s="156">
        <f t="shared" si="1"/>
        <v>0</v>
      </c>
      <c r="H10" s="253">
        <f>IF(F10=0,0,'CA et Marge Brute'!L13/'Durée Prod'!G10)</f>
        <v>0</v>
      </c>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25"/>
      <c r="AH10" s="225"/>
    </row>
    <row r="11" spans="1:40" x14ac:dyDescent="0.2">
      <c r="A11" s="225"/>
      <c r="B11" s="214" t="str">
        <f>Prod9</f>
        <v>Produit 9</v>
      </c>
      <c r="C11" s="216"/>
      <c r="D11" s="154" t="s">
        <v>129</v>
      </c>
      <c r="E11" s="155">
        <f>'CA et Marge Brute'!G14</f>
        <v>0</v>
      </c>
      <c r="F11" s="156">
        <f t="shared" si="0"/>
        <v>0</v>
      </c>
      <c r="G11" s="156">
        <f t="shared" si="1"/>
        <v>0</v>
      </c>
      <c r="H11" s="253">
        <f>IF(F11=0,0,'CA et Marge Brute'!L14/'Durée Prod'!G11)</f>
        <v>0</v>
      </c>
      <c r="I11" s="225"/>
      <c r="J11" s="225"/>
      <c r="K11" s="225"/>
      <c r="L11" s="225"/>
      <c r="M11" s="225"/>
      <c r="N11" s="225"/>
      <c r="O11" s="225"/>
      <c r="P11" s="225"/>
      <c r="Q11" s="225"/>
      <c r="R11" s="225"/>
      <c r="S11" s="225"/>
      <c r="T11" s="225"/>
      <c r="U11" s="225"/>
      <c r="V11" s="225"/>
      <c r="W11" s="225"/>
      <c r="X11" s="225"/>
      <c r="Y11" s="225"/>
      <c r="Z11" s="225"/>
      <c r="AA11" s="225"/>
      <c r="AB11" s="225"/>
      <c r="AC11" s="225"/>
      <c r="AD11" s="225"/>
      <c r="AE11" s="225"/>
      <c r="AF11" s="225"/>
      <c r="AG11" s="225"/>
      <c r="AH11" s="225"/>
    </row>
    <row r="12" spans="1:40" ht="17" thickBot="1" x14ac:dyDescent="0.25">
      <c r="A12" s="225"/>
      <c r="B12" s="219" t="str">
        <f>Prod10</f>
        <v>Produit 10</v>
      </c>
      <c r="C12" s="220"/>
      <c r="D12" s="221" t="s">
        <v>129</v>
      </c>
      <c r="E12" s="222">
        <f>'CA et Marge Brute'!G15</f>
        <v>0</v>
      </c>
      <c r="F12" s="223">
        <f t="shared" si="0"/>
        <v>0</v>
      </c>
      <c r="G12" s="223">
        <f t="shared" si="1"/>
        <v>0</v>
      </c>
      <c r="H12" s="254">
        <f>IF(F12=0,0,'CA et Marge Brute'!L15/'Durée Prod'!G12)</f>
        <v>0</v>
      </c>
      <c r="I12" s="225"/>
      <c r="J12" s="225"/>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225"/>
      <c r="AH12" s="225"/>
    </row>
    <row r="13" spans="1:40" x14ac:dyDescent="0.2">
      <c r="A13" s="225"/>
      <c r="B13" s="217" t="s">
        <v>141</v>
      </c>
      <c r="C13" s="276"/>
      <c r="D13" s="277"/>
      <c r="E13" s="277"/>
      <c r="F13" s="278"/>
      <c r="G13" s="218">
        <v>25</v>
      </c>
      <c r="H13" s="230" t="s">
        <v>144</v>
      </c>
      <c r="I13" s="225"/>
      <c r="J13" s="225"/>
      <c r="K13" s="225"/>
      <c r="L13" s="225"/>
      <c r="M13" s="225"/>
      <c r="N13" s="225"/>
      <c r="O13" s="225"/>
      <c r="P13" s="225"/>
      <c r="Q13" s="225"/>
      <c r="R13" s="225"/>
      <c r="S13" s="225"/>
      <c r="T13" s="225"/>
      <c r="U13" s="225"/>
      <c r="V13" s="225"/>
      <c r="W13" s="225"/>
      <c r="X13" s="225"/>
      <c r="Y13" s="225"/>
      <c r="Z13" s="225"/>
      <c r="AA13" s="225"/>
      <c r="AB13" s="225"/>
      <c r="AC13" s="225"/>
      <c r="AD13" s="225"/>
      <c r="AE13" s="225"/>
      <c r="AF13" s="225"/>
      <c r="AG13" s="225"/>
      <c r="AH13" s="225"/>
    </row>
    <row r="14" spans="1:40" x14ac:dyDescent="0.2">
      <c r="A14" s="225"/>
      <c r="B14" s="217" t="s">
        <v>212</v>
      </c>
      <c r="C14" s="279"/>
      <c r="D14" s="280"/>
      <c r="E14" s="280"/>
      <c r="F14" s="281"/>
      <c r="G14" s="218">
        <v>25</v>
      </c>
      <c r="H14" s="230" t="s">
        <v>144</v>
      </c>
      <c r="I14" s="225"/>
      <c r="J14" s="225"/>
      <c r="K14" s="225"/>
      <c r="L14" s="225"/>
      <c r="M14" s="225"/>
      <c r="N14" s="225"/>
      <c r="O14" s="225"/>
      <c r="P14" s="225"/>
      <c r="Q14" s="225"/>
      <c r="R14" s="225"/>
      <c r="S14" s="225"/>
      <c r="T14" s="225"/>
      <c r="U14" s="225"/>
      <c r="V14" s="225"/>
      <c r="W14" s="225"/>
      <c r="X14" s="225"/>
      <c r="Y14" s="225"/>
      <c r="Z14" s="225"/>
      <c r="AA14" s="225"/>
      <c r="AB14" s="225"/>
      <c r="AC14" s="225"/>
      <c r="AD14" s="225"/>
      <c r="AE14" s="225"/>
      <c r="AF14" s="225"/>
      <c r="AG14" s="225"/>
      <c r="AH14" s="225"/>
    </row>
    <row r="15" spans="1:40" x14ac:dyDescent="0.2">
      <c r="A15" s="225"/>
      <c r="B15" s="217" t="s">
        <v>211</v>
      </c>
      <c r="C15" s="248"/>
      <c r="D15" s="249"/>
      <c r="E15" s="249"/>
      <c r="F15" s="250"/>
      <c r="G15" s="218">
        <v>25</v>
      </c>
      <c r="H15" s="230" t="s">
        <v>144</v>
      </c>
      <c r="I15" s="225"/>
      <c r="J15" s="225"/>
      <c r="K15" s="225"/>
      <c r="L15" s="225"/>
      <c r="M15" s="225"/>
      <c r="N15" s="225"/>
      <c r="O15" s="225"/>
      <c r="P15" s="225"/>
      <c r="Q15" s="225"/>
      <c r="R15" s="225"/>
      <c r="S15" s="225"/>
      <c r="T15" s="225"/>
      <c r="U15" s="225"/>
      <c r="V15" s="225"/>
      <c r="W15" s="225"/>
      <c r="X15" s="225"/>
      <c r="Y15" s="225"/>
      <c r="Z15" s="225"/>
      <c r="AA15" s="225"/>
      <c r="AB15" s="225"/>
      <c r="AC15" s="225"/>
      <c r="AD15" s="225"/>
      <c r="AE15" s="225"/>
      <c r="AF15" s="225"/>
      <c r="AG15" s="225"/>
      <c r="AH15" s="225"/>
    </row>
    <row r="16" spans="1:40" x14ac:dyDescent="0.2">
      <c r="A16" s="225"/>
      <c r="B16" s="217" t="s">
        <v>202</v>
      </c>
      <c r="C16" s="279"/>
      <c r="D16" s="280"/>
      <c r="E16" s="280"/>
      <c r="F16" s="281"/>
      <c r="G16" s="218"/>
      <c r="H16" s="230" t="s">
        <v>144</v>
      </c>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5"/>
      <c r="AH16" s="225"/>
    </row>
    <row r="17" spans="1:37" ht="17" thickBot="1" x14ac:dyDescent="0.25">
      <c r="A17" s="225"/>
      <c r="B17" s="217" t="s">
        <v>201</v>
      </c>
      <c r="C17" s="279"/>
      <c r="D17" s="280"/>
      <c r="E17" s="280"/>
      <c r="F17" s="281"/>
      <c r="G17" s="218"/>
      <c r="H17" s="230" t="s">
        <v>144</v>
      </c>
      <c r="I17" s="225"/>
      <c r="J17" s="225"/>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5"/>
      <c r="AH17" s="225"/>
    </row>
    <row r="18" spans="1:37" ht="17" thickBot="1" x14ac:dyDescent="0.25">
      <c r="A18" s="225"/>
      <c r="B18" s="146" t="s">
        <v>118</v>
      </c>
      <c r="C18" s="227"/>
      <c r="D18" s="227"/>
      <c r="E18" s="227"/>
      <c r="F18" s="228"/>
      <c r="G18" s="157">
        <f>SUM(G3:G17)</f>
        <v>75</v>
      </c>
      <c r="H18" s="231"/>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5"/>
      <c r="AH18" s="225"/>
    </row>
    <row r="19" spans="1:37" ht="17" thickBot="1" x14ac:dyDescent="0.25">
      <c r="A19" s="225"/>
      <c r="B19" s="224" t="s">
        <v>142</v>
      </c>
      <c r="C19" s="227" t="s">
        <v>143</v>
      </c>
      <c r="D19" s="227"/>
      <c r="E19" s="227"/>
      <c r="F19" s="228"/>
      <c r="G19" s="246">
        <v>168</v>
      </c>
      <c r="H19" s="229" t="s">
        <v>204</v>
      </c>
      <c r="I19" s="232"/>
      <c r="J19" s="225"/>
      <c r="K19" s="252" t="s">
        <v>177</v>
      </c>
      <c r="L19" s="225"/>
      <c r="M19" s="225"/>
      <c r="N19" s="225"/>
      <c r="O19" s="225"/>
      <c r="P19" s="225"/>
      <c r="Q19" s="225"/>
      <c r="R19" s="225"/>
      <c r="S19" s="225"/>
      <c r="T19" s="225"/>
      <c r="U19" s="225"/>
      <c r="V19" s="225"/>
      <c r="W19" s="225"/>
      <c r="X19" s="225"/>
      <c r="Y19" s="225"/>
      <c r="Z19" s="225"/>
      <c r="AA19" s="225"/>
      <c r="AB19" s="225"/>
      <c r="AC19" s="225"/>
      <c r="AD19" s="225"/>
      <c r="AE19" s="225"/>
      <c r="AF19" s="225"/>
      <c r="AG19" s="225"/>
      <c r="AH19" s="225"/>
    </row>
    <row r="20" spans="1:37" ht="17" thickBot="1" x14ac:dyDescent="0.25">
      <c r="A20" s="225"/>
      <c r="B20" s="146" t="s">
        <v>119</v>
      </c>
      <c r="C20" s="227"/>
      <c r="D20" s="227"/>
      <c r="E20" s="227"/>
      <c r="F20" s="228"/>
      <c r="G20" s="157">
        <f>G19-G18</f>
        <v>93</v>
      </c>
      <c r="I20" s="232"/>
      <c r="J20" s="225"/>
      <c r="K20" s="252" t="s">
        <v>178</v>
      </c>
      <c r="L20" s="225"/>
      <c r="M20" s="225"/>
      <c r="N20" s="225"/>
      <c r="O20" s="225"/>
      <c r="P20" s="225"/>
      <c r="Q20" s="225"/>
      <c r="R20" s="225"/>
      <c r="S20" s="225"/>
      <c r="T20" s="225"/>
      <c r="U20" s="225"/>
      <c r="V20" s="225"/>
      <c r="W20" s="225"/>
      <c r="X20" s="225"/>
      <c r="Y20" s="225"/>
      <c r="Z20" s="225"/>
      <c r="AA20" s="225"/>
      <c r="AB20" s="225"/>
      <c r="AC20" s="225"/>
      <c r="AD20" s="225"/>
      <c r="AE20" s="225"/>
      <c r="AF20" s="225"/>
      <c r="AG20" s="225"/>
      <c r="AH20" s="225"/>
    </row>
    <row r="21" spans="1:37" x14ac:dyDescent="0.2">
      <c r="A21" s="225"/>
      <c r="B21" s="227"/>
      <c r="C21" s="227"/>
      <c r="D21" s="227"/>
      <c r="E21" s="227"/>
      <c r="F21" s="228"/>
      <c r="G21" s="228"/>
      <c r="H21" s="226"/>
      <c r="I21" s="232"/>
      <c r="J21" s="225"/>
      <c r="K21" s="252" t="s">
        <v>179</v>
      </c>
      <c r="L21" s="225"/>
      <c r="M21" s="225"/>
      <c r="N21" s="225"/>
      <c r="O21" s="225"/>
      <c r="P21" s="225"/>
      <c r="Q21" s="225"/>
      <c r="R21" s="225"/>
      <c r="S21" s="225"/>
      <c r="T21" s="225"/>
      <c r="U21" s="225"/>
      <c r="V21" s="225"/>
      <c r="W21" s="225"/>
      <c r="X21" s="225"/>
      <c r="Y21" s="225"/>
      <c r="Z21" s="225"/>
      <c r="AA21" s="225"/>
      <c r="AB21" s="225"/>
      <c r="AC21" s="225"/>
      <c r="AD21" s="225"/>
      <c r="AE21" s="225"/>
      <c r="AF21" s="225"/>
      <c r="AG21" s="225"/>
      <c r="AH21" s="225"/>
      <c r="AI21" s="225"/>
      <c r="AJ21" s="225"/>
    </row>
    <row r="22" spans="1:37" x14ac:dyDescent="0.2">
      <c r="A22" s="225"/>
      <c r="B22" s="229" t="s">
        <v>205</v>
      </c>
      <c r="C22" s="229"/>
      <c r="D22" s="227"/>
      <c r="E22" s="227"/>
      <c r="F22" s="228"/>
      <c r="G22" s="228"/>
      <c r="H22" s="226"/>
      <c r="I22" s="232"/>
      <c r="J22" s="225"/>
      <c r="K22" s="252" t="s">
        <v>180</v>
      </c>
      <c r="L22" s="225"/>
      <c r="M22" s="225"/>
      <c r="N22" s="225"/>
      <c r="O22" s="225"/>
      <c r="P22" s="225"/>
      <c r="Q22" s="225"/>
      <c r="R22" s="225"/>
      <c r="S22" s="225"/>
      <c r="T22" s="225"/>
      <c r="U22" s="225"/>
      <c r="V22" s="225"/>
      <c r="W22" s="225"/>
      <c r="X22" s="225"/>
      <c r="Y22" s="225"/>
      <c r="Z22" s="225"/>
      <c r="AA22" s="225"/>
      <c r="AB22" s="225"/>
      <c r="AC22" s="225"/>
      <c r="AD22" s="225"/>
      <c r="AE22" s="225"/>
      <c r="AF22" s="225"/>
      <c r="AG22" s="225"/>
      <c r="AH22" s="225"/>
      <c r="AI22" s="225"/>
      <c r="AJ22" s="225"/>
    </row>
    <row r="23" spans="1:37" x14ac:dyDescent="0.2">
      <c r="A23" s="225"/>
      <c r="B23" s="225"/>
      <c r="C23" s="225"/>
      <c r="D23" s="225"/>
      <c r="E23" s="225"/>
      <c r="F23" s="226"/>
      <c r="G23" s="226"/>
      <c r="H23" s="226"/>
      <c r="I23" s="232"/>
      <c r="J23" s="225"/>
      <c r="K23" s="225"/>
      <c r="L23" s="225"/>
      <c r="M23" s="225"/>
      <c r="N23" s="225"/>
      <c r="O23" s="225"/>
      <c r="P23" s="225"/>
      <c r="Q23" s="225"/>
      <c r="R23" s="225"/>
      <c r="S23" s="225"/>
      <c r="T23" s="225"/>
      <c r="U23" s="225"/>
      <c r="V23" s="225"/>
      <c r="W23" s="225"/>
      <c r="X23" s="225"/>
      <c r="Y23" s="225"/>
      <c r="Z23" s="225"/>
      <c r="AA23" s="225"/>
      <c r="AB23" s="225"/>
      <c r="AC23" s="225"/>
      <c r="AD23" s="225"/>
      <c r="AE23" s="225"/>
      <c r="AF23" s="225"/>
      <c r="AG23" s="225"/>
      <c r="AH23" s="225"/>
      <c r="AI23" s="225"/>
      <c r="AJ23" s="225"/>
      <c r="AK23" s="225"/>
    </row>
    <row r="24" spans="1:37" x14ac:dyDescent="0.2">
      <c r="A24" s="225"/>
      <c r="B24" s="229" t="s">
        <v>203</v>
      </c>
      <c r="C24" s="251"/>
      <c r="D24" s="225"/>
      <c r="E24" s="225"/>
      <c r="F24" s="226"/>
      <c r="G24" s="226"/>
      <c r="H24" s="226"/>
      <c r="I24" s="226"/>
      <c r="J24" s="225"/>
      <c r="K24" s="225"/>
      <c r="L24" s="225"/>
      <c r="M24" s="225"/>
      <c r="N24" s="225"/>
      <c r="O24" s="225"/>
      <c r="P24" s="225"/>
      <c r="Q24" s="225"/>
      <c r="R24" s="225"/>
      <c r="S24" s="225"/>
      <c r="T24" s="225"/>
      <c r="U24" s="225"/>
      <c r="V24" s="225"/>
      <c r="W24" s="225"/>
      <c r="X24" s="225"/>
      <c r="Y24" s="225"/>
      <c r="Z24" s="225"/>
      <c r="AA24" s="225"/>
      <c r="AB24" s="225"/>
      <c r="AC24" s="225"/>
      <c r="AD24" s="225"/>
      <c r="AE24" s="225"/>
      <c r="AF24" s="225"/>
      <c r="AG24" s="225"/>
      <c r="AH24" s="225"/>
      <c r="AI24" s="225"/>
      <c r="AJ24" s="225"/>
      <c r="AK24" s="225"/>
    </row>
    <row r="25" spans="1:37" x14ac:dyDescent="0.2">
      <c r="A25" s="225"/>
      <c r="B25" s="225"/>
      <c r="C25" s="225"/>
      <c r="D25" s="225"/>
      <c r="E25" s="225"/>
      <c r="F25" s="226"/>
      <c r="G25" s="226"/>
      <c r="H25" s="225"/>
      <c r="I25" s="226"/>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25"/>
      <c r="AH25" s="225"/>
      <c r="AI25" s="225"/>
      <c r="AJ25" s="225"/>
      <c r="AK25" s="225"/>
    </row>
    <row r="26" spans="1:37" x14ac:dyDescent="0.2">
      <c r="A26" s="225"/>
      <c r="B26" s="225"/>
      <c r="C26" s="225"/>
      <c r="D26" s="225"/>
      <c r="E26" s="225"/>
      <c r="F26" s="226"/>
      <c r="G26" s="226"/>
      <c r="H26" s="225"/>
      <c r="I26" s="226"/>
      <c r="J26" s="225"/>
      <c r="K26" s="225"/>
      <c r="L26" s="225"/>
      <c r="M26" s="225"/>
      <c r="N26" s="225"/>
      <c r="O26" s="225"/>
      <c r="P26" s="225"/>
      <c r="Q26" s="225"/>
      <c r="R26" s="225"/>
      <c r="S26" s="225"/>
      <c r="T26" s="225"/>
      <c r="U26" s="225"/>
      <c r="V26" s="225"/>
      <c r="W26" s="225"/>
      <c r="X26" s="225"/>
      <c r="Y26" s="225"/>
      <c r="Z26" s="225"/>
      <c r="AA26" s="225"/>
      <c r="AB26" s="225"/>
      <c r="AC26" s="225"/>
      <c r="AD26" s="225"/>
      <c r="AE26" s="225"/>
      <c r="AF26" s="225"/>
      <c r="AG26" s="225"/>
      <c r="AH26" s="225"/>
      <c r="AI26" s="225"/>
      <c r="AJ26" s="225"/>
      <c r="AK26" s="225"/>
    </row>
    <row r="27" spans="1:37" x14ac:dyDescent="0.2">
      <c r="A27" s="225"/>
      <c r="B27" s="225"/>
      <c r="C27" s="225"/>
      <c r="D27" s="225"/>
      <c r="E27" s="225"/>
      <c r="F27" s="226"/>
      <c r="G27" s="226"/>
      <c r="H27" s="225"/>
      <c r="I27" s="226"/>
      <c r="J27" s="225"/>
      <c r="K27" s="225"/>
      <c r="L27" s="225"/>
      <c r="M27" s="225"/>
      <c r="N27" s="225"/>
      <c r="O27" s="225"/>
      <c r="P27" s="225"/>
      <c r="Q27" s="225"/>
      <c r="R27" s="225"/>
      <c r="S27" s="225"/>
      <c r="T27" s="225"/>
      <c r="U27" s="225"/>
      <c r="V27" s="225"/>
      <c r="W27" s="225"/>
      <c r="X27" s="225"/>
      <c r="Y27" s="225"/>
      <c r="Z27" s="225"/>
      <c r="AA27" s="225"/>
      <c r="AB27" s="225"/>
      <c r="AC27" s="225"/>
      <c r="AD27" s="225"/>
      <c r="AE27" s="225"/>
      <c r="AF27" s="225"/>
      <c r="AG27" s="225"/>
      <c r="AH27" s="225"/>
      <c r="AI27" s="225"/>
      <c r="AJ27" s="225"/>
      <c r="AK27" s="225"/>
    </row>
    <row r="28" spans="1:37" x14ac:dyDescent="0.2">
      <c r="A28" s="225"/>
      <c r="B28" s="225"/>
      <c r="C28" s="225"/>
      <c r="D28" s="225"/>
      <c r="E28" s="225"/>
      <c r="F28" s="226"/>
      <c r="G28" s="226"/>
      <c r="H28" s="225"/>
      <c r="I28" s="226"/>
      <c r="J28" s="225"/>
      <c r="K28" s="225"/>
      <c r="L28" s="225"/>
      <c r="M28" s="225"/>
      <c r="N28" s="225"/>
      <c r="O28" s="225"/>
      <c r="P28" s="225"/>
      <c r="Q28" s="225"/>
      <c r="R28" s="225"/>
      <c r="S28" s="225"/>
      <c r="T28" s="225"/>
      <c r="U28" s="225"/>
      <c r="V28" s="225"/>
      <c r="W28" s="225"/>
      <c r="X28" s="225"/>
      <c r="Y28" s="225"/>
      <c r="Z28" s="225"/>
      <c r="AA28" s="225"/>
      <c r="AB28" s="225"/>
      <c r="AC28" s="225"/>
      <c r="AD28" s="225"/>
      <c r="AE28" s="225"/>
      <c r="AF28" s="225"/>
      <c r="AG28" s="225"/>
      <c r="AH28" s="225"/>
      <c r="AI28" s="225"/>
      <c r="AJ28" s="225"/>
      <c r="AK28" s="225"/>
    </row>
    <row r="29" spans="1:37" x14ac:dyDescent="0.2">
      <c r="A29" s="225"/>
      <c r="B29" s="225"/>
      <c r="C29" s="225"/>
      <c r="D29" s="225"/>
      <c r="E29" s="225"/>
      <c r="F29" s="226"/>
      <c r="G29" s="226"/>
      <c r="H29" s="225"/>
      <c r="I29" s="226"/>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row>
    <row r="30" spans="1:37" x14ac:dyDescent="0.2">
      <c r="A30" s="225"/>
      <c r="B30" s="225"/>
      <c r="C30" s="225"/>
      <c r="D30" s="225"/>
      <c r="E30" s="225"/>
      <c r="F30" s="226"/>
      <c r="G30" s="226"/>
      <c r="H30" s="225"/>
      <c r="I30" s="226"/>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row>
    <row r="31" spans="1:37" x14ac:dyDescent="0.2">
      <c r="A31" s="225"/>
      <c r="B31" s="225"/>
      <c r="C31" s="225"/>
      <c r="D31" s="225"/>
      <c r="E31" s="225"/>
      <c r="F31" s="226"/>
      <c r="G31" s="226"/>
      <c r="H31" s="225"/>
      <c r="I31" s="226"/>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row>
    <row r="32" spans="1:37" x14ac:dyDescent="0.2">
      <c r="A32" s="225"/>
      <c r="B32" s="225"/>
      <c r="C32" s="225"/>
      <c r="D32" s="225"/>
      <c r="E32" s="225"/>
      <c r="F32" s="226"/>
      <c r="G32" s="226"/>
      <c r="H32" s="225"/>
      <c r="I32" s="226"/>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25"/>
      <c r="AH32" s="225"/>
      <c r="AI32" s="225"/>
      <c r="AJ32" s="225"/>
      <c r="AK32" s="225"/>
    </row>
    <row r="33" spans="1:37" x14ac:dyDescent="0.2">
      <c r="A33" s="225"/>
      <c r="B33" s="225"/>
      <c r="C33" s="225"/>
      <c r="D33" s="225"/>
      <c r="E33" s="225"/>
      <c r="F33" s="226"/>
      <c r="G33" s="226"/>
      <c r="H33" s="225"/>
      <c r="I33" s="226"/>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c r="AG33" s="225"/>
      <c r="AH33" s="225"/>
      <c r="AI33" s="225"/>
      <c r="AJ33" s="225"/>
      <c r="AK33" s="225"/>
    </row>
    <row r="34" spans="1:37" x14ac:dyDescent="0.2">
      <c r="A34" s="225"/>
      <c r="B34" s="225"/>
      <c r="C34" s="225"/>
      <c r="D34" s="225"/>
      <c r="E34" s="225"/>
      <c r="F34" s="226"/>
      <c r="G34" s="226"/>
      <c r="H34" s="225"/>
      <c r="I34" s="226"/>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25"/>
      <c r="AH34" s="225"/>
      <c r="AI34" s="225"/>
      <c r="AJ34" s="225"/>
      <c r="AK34" s="225"/>
    </row>
    <row r="35" spans="1:37" x14ac:dyDescent="0.2">
      <c r="A35" s="225"/>
      <c r="B35" s="225"/>
      <c r="C35" s="225"/>
      <c r="D35" s="225"/>
      <c r="E35" s="225"/>
      <c r="F35" s="226"/>
      <c r="G35" s="226"/>
      <c r="H35" s="225"/>
      <c r="I35" s="226"/>
      <c r="J35" s="225"/>
      <c r="K35" s="225"/>
      <c r="L35" s="225"/>
      <c r="M35" s="225"/>
      <c r="N35" s="225"/>
      <c r="O35" s="225"/>
      <c r="P35" s="225"/>
      <c r="Q35" s="225"/>
      <c r="R35" s="225"/>
      <c r="S35" s="225"/>
      <c r="T35" s="225"/>
      <c r="U35" s="225"/>
      <c r="V35" s="225"/>
      <c r="W35" s="225"/>
      <c r="X35" s="225"/>
      <c r="Y35" s="225"/>
      <c r="Z35" s="225"/>
      <c r="AA35" s="225"/>
      <c r="AB35" s="225"/>
      <c r="AC35" s="225"/>
      <c r="AD35" s="225"/>
      <c r="AE35" s="225"/>
      <c r="AF35" s="225"/>
      <c r="AG35" s="225"/>
      <c r="AH35" s="225"/>
      <c r="AI35" s="225"/>
      <c r="AJ35" s="225"/>
      <c r="AK35" s="225"/>
    </row>
    <row r="36" spans="1:37" x14ac:dyDescent="0.2">
      <c r="A36" s="225"/>
      <c r="B36" s="225"/>
      <c r="C36" s="225"/>
      <c r="D36" s="225"/>
      <c r="E36" s="225"/>
      <c r="F36" s="226"/>
      <c r="G36" s="226"/>
      <c r="H36" s="225"/>
      <c r="I36" s="226"/>
      <c r="J36" s="225"/>
      <c r="K36" s="225"/>
      <c r="L36" s="225"/>
      <c r="M36" s="225"/>
      <c r="N36" s="225"/>
      <c r="O36" s="225"/>
      <c r="P36" s="225"/>
      <c r="Q36" s="225"/>
      <c r="R36" s="225"/>
      <c r="S36" s="225"/>
      <c r="T36" s="225"/>
      <c r="U36" s="225"/>
      <c r="V36" s="225"/>
      <c r="W36" s="225"/>
      <c r="X36" s="225"/>
      <c r="Y36" s="225"/>
      <c r="Z36" s="225"/>
      <c r="AA36" s="225"/>
      <c r="AB36" s="225"/>
      <c r="AC36" s="225"/>
      <c r="AD36" s="225"/>
      <c r="AE36" s="225"/>
      <c r="AF36" s="225"/>
      <c r="AG36" s="225"/>
      <c r="AH36" s="225"/>
      <c r="AI36" s="225"/>
      <c r="AJ36" s="225"/>
      <c r="AK36" s="225"/>
    </row>
    <row r="37" spans="1:37" x14ac:dyDescent="0.2">
      <c r="A37" s="225"/>
      <c r="B37" s="225"/>
      <c r="C37" s="225"/>
      <c r="D37" s="225"/>
      <c r="E37" s="225"/>
      <c r="F37" s="226"/>
      <c r="G37" s="226"/>
      <c r="H37" s="225"/>
      <c r="I37" s="226"/>
      <c r="J37" s="225"/>
      <c r="K37" s="225"/>
      <c r="L37" s="225"/>
      <c r="M37" s="225"/>
      <c r="N37" s="225"/>
      <c r="O37" s="225"/>
      <c r="P37" s="225"/>
      <c r="Q37" s="225"/>
      <c r="R37" s="225"/>
      <c r="S37" s="225"/>
      <c r="T37" s="225"/>
      <c r="U37" s="225"/>
      <c r="V37" s="225"/>
      <c r="W37" s="225"/>
      <c r="X37" s="225"/>
      <c r="Y37" s="225"/>
      <c r="Z37" s="225"/>
      <c r="AA37" s="225"/>
      <c r="AB37" s="225"/>
      <c r="AC37" s="225"/>
      <c r="AD37" s="225"/>
      <c r="AE37" s="225"/>
      <c r="AF37" s="225"/>
      <c r="AG37" s="225"/>
      <c r="AH37" s="225"/>
      <c r="AI37" s="225"/>
      <c r="AJ37" s="225"/>
      <c r="AK37" s="225"/>
    </row>
    <row r="38" spans="1:37" x14ac:dyDescent="0.2">
      <c r="A38" s="225"/>
      <c r="B38" s="225"/>
      <c r="C38" s="225"/>
      <c r="D38" s="225"/>
      <c r="E38" s="225"/>
      <c r="F38" s="226"/>
      <c r="G38" s="226"/>
      <c r="H38" s="225"/>
      <c r="I38" s="226"/>
      <c r="J38" s="225"/>
      <c r="K38" s="225"/>
      <c r="L38" s="225"/>
      <c r="M38" s="225"/>
      <c r="N38" s="225"/>
      <c r="O38" s="225"/>
      <c r="P38" s="225"/>
      <c r="Q38" s="225"/>
      <c r="R38" s="225"/>
      <c r="S38" s="225"/>
      <c r="T38" s="225"/>
      <c r="U38" s="225"/>
      <c r="V38" s="225"/>
      <c r="W38" s="225"/>
      <c r="X38" s="225"/>
      <c r="Y38" s="225"/>
      <c r="Z38" s="225"/>
      <c r="AA38" s="225"/>
      <c r="AB38" s="225"/>
      <c r="AC38" s="225"/>
      <c r="AD38" s="225"/>
      <c r="AE38" s="225"/>
      <c r="AF38" s="225"/>
      <c r="AG38" s="225"/>
      <c r="AH38" s="225"/>
      <c r="AI38" s="225"/>
      <c r="AJ38" s="225"/>
      <c r="AK38" s="225"/>
    </row>
    <row r="39" spans="1:37" x14ac:dyDescent="0.2">
      <c r="A39" s="225"/>
      <c r="B39" s="225"/>
      <c r="C39" s="225"/>
      <c r="D39" s="225"/>
      <c r="E39" s="225"/>
      <c r="F39" s="226"/>
      <c r="G39" s="226"/>
      <c r="H39" s="225"/>
      <c r="I39" s="226"/>
      <c r="J39" s="225"/>
      <c r="K39" s="225"/>
      <c r="L39" s="225"/>
      <c r="M39" s="225"/>
      <c r="N39" s="225"/>
      <c r="O39" s="225"/>
      <c r="P39" s="225"/>
      <c r="Q39" s="225"/>
      <c r="R39" s="225"/>
      <c r="S39" s="225"/>
      <c r="T39" s="225"/>
      <c r="U39" s="225"/>
      <c r="V39" s="225"/>
      <c r="W39" s="225"/>
      <c r="X39" s="225"/>
      <c r="Y39" s="225"/>
      <c r="Z39" s="225"/>
      <c r="AA39" s="225"/>
      <c r="AB39" s="225"/>
      <c r="AC39" s="225"/>
      <c r="AD39" s="225"/>
      <c r="AE39" s="225"/>
      <c r="AF39" s="225"/>
      <c r="AG39" s="225"/>
      <c r="AH39" s="225"/>
      <c r="AI39" s="225"/>
      <c r="AJ39" s="225"/>
      <c r="AK39" s="225"/>
    </row>
    <row r="40" spans="1:37" x14ac:dyDescent="0.2">
      <c r="A40" s="225"/>
      <c r="B40" s="225"/>
      <c r="C40" s="225"/>
      <c r="D40" s="225"/>
      <c r="E40" s="225"/>
      <c r="F40" s="226"/>
      <c r="G40" s="226"/>
      <c r="H40" s="225"/>
      <c r="I40" s="226"/>
      <c r="J40" s="225"/>
      <c r="K40" s="225"/>
      <c r="L40" s="225"/>
      <c r="M40" s="225"/>
      <c r="N40" s="225"/>
      <c r="O40" s="225"/>
      <c r="P40" s="225"/>
      <c r="Q40" s="225"/>
      <c r="R40" s="225"/>
      <c r="S40" s="225"/>
      <c r="T40" s="225"/>
      <c r="U40" s="225"/>
      <c r="V40" s="225"/>
      <c r="W40" s="225"/>
      <c r="X40" s="225"/>
      <c r="Y40" s="225"/>
      <c r="Z40" s="225"/>
      <c r="AA40" s="225"/>
      <c r="AB40" s="225"/>
      <c r="AC40" s="225"/>
      <c r="AD40" s="225"/>
      <c r="AE40" s="225"/>
      <c r="AF40" s="225"/>
      <c r="AG40" s="225"/>
      <c r="AH40" s="225"/>
      <c r="AI40" s="225"/>
      <c r="AJ40" s="225"/>
      <c r="AK40" s="225"/>
    </row>
    <row r="41" spans="1:37" x14ac:dyDescent="0.2">
      <c r="A41" s="225"/>
      <c r="B41" s="225"/>
      <c r="C41" s="225"/>
      <c r="D41" s="225"/>
      <c r="E41" s="225"/>
      <c r="F41" s="226"/>
      <c r="G41" s="226"/>
      <c r="H41" s="225"/>
      <c r="I41" s="226"/>
      <c r="J41" s="225"/>
      <c r="K41" s="225"/>
      <c r="L41" s="225"/>
      <c r="M41" s="225"/>
      <c r="N41" s="225"/>
      <c r="O41" s="225"/>
      <c r="P41" s="225"/>
      <c r="Q41" s="225"/>
      <c r="R41" s="225"/>
      <c r="S41" s="225"/>
      <c r="T41" s="225"/>
      <c r="U41" s="225"/>
      <c r="V41" s="225"/>
      <c r="W41" s="225"/>
      <c r="X41" s="225"/>
      <c r="Y41" s="225"/>
      <c r="Z41" s="225"/>
      <c r="AA41" s="225"/>
      <c r="AB41" s="225"/>
      <c r="AC41" s="225"/>
      <c r="AD41" s="225"/>
      <c r="AE41" s="225"/>
      <c r="AF41" s="225"/>
      <c r="AG41" s="225"/>
      <c r="AH41" s="225"/>
      <c r="AI41" s="225"/>
      <c r="AJ41" s="225"/>
      <c r="AK41" s="225"/>
    </row>
    <row r="42" spans="1:37" x14ac:dyDescent="0.2">
      <c r="A42" s="225"/>
      <c r="B42" s="225"/>
      <c r="C42" s="225"/>
      <c r="D42" s="225"/>
      <c r="E42" s="225"/>
      <c r="F42" s="226"/>
      <c r="G42" s="226"/>
      <c r="H42" s="225"/>
      <c r="I42" s="226"/>
      <c r="J42" s="225"/>
      <c r="K42" s="225"/>
      <c r="L42" s="225"/>
      <c r="M42" s="225"/>
      <c r="N42" s="225"/>
      <c r="O42" s="225"/>
      <c r="P42" s="225"/>
      <c r="Q42" s="225"/>
      <c r="R42" s="225"/>
      <c r="S42" s="225"/>
      <c r="T42" s="225"/>
      <c r="U42" s="225"/>
      <c r="V42" s="225"/>
      <c r="W42" s="225"/>
      <c r="X42" s="225"/>
      <c r="Y42" s="225"/>
      <c r="Z42" s="225"/>
      <c r="AA42" s="225"/>
      <c r="AB42" s="225"/>
      <c r="AC42" s="225"/>
      <c r="AD42" s="225"/>
      <c r="AE42" s="225"/>
      <c r="AF42" s="225"/>
      <c r="AG42" s="225"/>
      <c r="AH42" s="225"/>
      <c r="AI42" s="225"/>
      <c r="AJ42" s="225"/>
      <c r="AK42" s="225"/>
    </row>
    <row r="43" spans="1:37" x14ac:dyDescent="0.2">
      <c r="A43" s="225"/>
      <c r="B43" s="225"/>
      <c r="C43" s="225"/>
      <c r="D43" s="225"/>
      <c r="E43" s="225"/>
      <c r="F43" s="226"/>
      <c r="G43" s="226"/>
      <c r="H43" s="225"/>
      <c r="I43" s="226"/>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row>
    <row r="44" spans="1:37" x14ac:dyDescent="0.2">
      <c r="A44" s="225"/>
      <c r="B44" s="225"/>
      <c r="C44" s="225"/>
      <c r="D44" s="225"/>
      <c r="E44" s="225"/>
      <c r="F44" s="226"/>
      <c r="G44" s="226"/>
      <c r="H44" s="225"/>
      <c r="I44" s="226"/>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c r="AH44" s="225"/>
      <c r="AI44" s="225"/>
      <c r="AJ44" s="225"/>
      <c r="AK44" s="225"/>
    </row>
    <row r="45" spans="1:37" x14ac:dyDescent="0.2">
      <c r="A45" s="225"/>
      <c r="B45" s="225"/>
      <c r="C45" s="225"/>
      <c r="D45" s="225"/>
      <c r="E45" s="225"/>
      <c r="F45" s="226"/>
      <c r="G45" s="226"/>
      <c r="H45" s="225"/>
      <c r="I45" s="226"/>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25"/>
      <c r="AH45" s="225"/>
      <c r="AI45" s="225"/>
      <c r="AJ45" s="225"/>
      <c r="AK45" s="225"/>
    </row>
    <row r="46" spans="1:37" x14ac:dyDescent="0.2">
      <c r="A46" s="225"/>
      <c r="B46" s="225"/>
      <c r="C46" s="225"/>
      <c r="D46" s="225"/>
      <c r="E46" s="225"/>
      <c r="F46" s="226"/>
      <c r="G46" s="226"/>
      <c r="H46" s="225"/>
      <c r="I46" s="226"/>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25"/>
      <c r="AH46" s="225"/>
      <c r="AI46" s="225"/>
      <c r="AJ46" s="225"/>
      <c r="AK46" s="225"/>
    </row>
    <row r="47" spans="1:37" x14ac:dyDescent="0.2">
      <c r="A47" s="225"/>
      <c r="B47" s="225"/>
      <c r="C47" s="225"/>
      <c r="D47" s="225"/>
      <c r="E47" s="225"/>
      <c r="F47" s="226"/>
      <c r="G47" s="226"/>
      <c r="H47" s="225"/>
      <c r="I47" s="226"/>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row>
    <row r="48" spans="1:37" x14ac:dyDescent="0.2">
      <c r="A48" s="225"/>
      <c r="B48" s="225"/>
      <c r="C48" s="225"/>
      <c r="D48" s="225"/>
      <c r="E48" s="225"/>
      <c r="F48" s="226"/>
      <c r="G48" s="226"/>
      <c r="H48" s="225"/>
      <c r="I48" s="226"/>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25"/>
      <c r="AH48" s="225"/>
      <c r="AI48" s="225"/>
      <c r="AJ48" s="225"/>
      <c r="AK48" s="225"/>
    </row>
    <row r="49" spans="1:37" x14ac:dyDescent="0.2">
      <c r="A49" s="225"/>
      <c r="B49" s="225"/>
      <c r="C49" s="225"/>
      <c r="D49" s="225"/>
      <c r="E49" s="225"/>
      <c r="F49" s="226"/>
      <c r="G49" s="226"/>
      <c r="H49" s="225"/>
      <c r="I49" s="226"/>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c r="AH49" s="225"/>
      <c r="AI49" s="225"/>
      <c r="AJ49" s="225"/>
      <c r="AK49" s="225"/>
    </row>
    <row r="50" spans="1:37" x14ac:dyDescent="0.2">
      <c r="A50" s="225"/>
      <c r="B50" s="225"/>
      <c r="C50" s="225"/>
      <c r="D50" s="225"/>
      <c r="E50" s="225"/>
      <c r="F50" s="226"/>
      <c r="G50" s="226"/>
      <c r="H50" s="225"/>
      <c r="I50" s="226"/>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row>
    <row r="51" spans="1:37" x14ac:dyDescent="0.2">
      <c r="A51" s="225"/>
      <c r="B51" s="225"/>
      <c r="C51" s="225"/>
      <c r="D51" s="225"/>
      <c r="E51" s="225"/>
      <c r="F51" s="226"/>
      <c r="G51" s="226"/>
      <c r="H51" s="225"/>
      <c r="I51" s="226"/>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row>
    <row r="52" spans="1:37" x14ac:dyDescent="0.2">
      <c r="A52" s="225"/>
      <c r="B52" s="225"/>
      <c r="C52" s="225"/>
      <c r="D52" s="225"/>
      <c r="E52" s="225"/>
      <c r="F52" s="226"/>
      <c r="G52" s="226"/>
      <c r="H52" s="225"/>
      <c r="I52" s="226"/>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row>
    <row r="53" spans="1:37" x14ac:dyDescent="0.2">
      <c r="A53" s="225"/>
      <c r="B53" s="225"/>
      <c r="C53" s="225"/>
      <c r="D53" s="225"/>
      <c r="E53" s="225"/>
      <c r="F53" s="226"/>
      <c r="G53" s="226"/>
      <c r="H53" s="225"/>
      <c r="I53" s="226"/>
      <c r="J53" s="225"/>
      <c r="K53" s="225"/>
      <c r="L53" s="225"/>
      <c r="M53" s="225"/>
      <c r="N53" s="225"/>
      <c r="O53" s="225"/>
      <c r="P53" s="225"/>
      <c r="Q53" s="225"/>
      <c r="R53" s="225"/>
      <c r="S53" s="225"/>
      <c r="T53" s="225"/>
      <c r="U53" s="225"/>
      <c r="V53" s="225"/>
      <c r="W53" s="225"/>
      <c r="X53" s="225"/>
      <c r="Y53" s="225"/>
      <c r="Z53" s="225"/>
      <c r="AA53" s="225"/>
      <c r="AB53" s="225"/>
      <c r="AC53" s="225"/>
      <c r="AD53" s="225"/>
      <c r="AE53" s="225"/>
      <c r="AF53" s="225"/>
      <c r="AG53" s="225"/>
      <c r="AH53" s="225"/>
      <c r="AI53" s="225"/>
      <c r="AJ53" s="225"/>
      <c r="AK53" s="225"/>
    </row>
    <row r="54" spans="1:37" x14ac:dyDescent="0.2">
      <c r="A54" s="225"/>
      <c r="B54" s="225"/>
      <c r="C54" s="225"/>
      <c r="D54" s="225"/>
      <c r="E54" s="225"/>
      <c r="F54" s="226"/>
      <c r="G54" s="226"/>
      <c r="H54" s="225"/>
      <c r="I54" s="226"/>
      <c r="J54" s="225"/>
      <c r="K54" s="225"/>
      <c r="L54" s="225"/>
      <c r="M54" s="225"/>
      <c r="N54" s="225"/>
      <c r="O54" s="225"/>
      <c r="P54" s="225"/>
      <c r="Q54" s="225"/>
      <c r="R54" s="225"/>
      <c r="S54" s="225"/>
      <c r="T54" s="225"/>
      <c r="U54" s="225"/>
      <c r="V54" s="225"/>
      <c r="W54" s="225"/>
      <c r="X54" s="225"/>
      <c r="Y54" s="225"/>
      <c r="Z54" s="225"/>
      <c r="AA54" s="225"/>
      <c r="AB54" s="225"/>
      <c r="AC54" s="225"/>
      <c r="AD54" s="225"/>
      <c r="AE54" s="225"/>
      <c r="AF54" s="225"/>
      <c r="AG54" s="225"/>
      <c r="AH54" s="225"/>
      <c r="AI54" s="225"/>
      <c r="AJ54" s="225"/>
      <c r="AK54" s="225"/>
    </row>
    <row r="55" spans="1:37" x14ac:dyDescent="0.2">
      <c r="A55" s="225"/>
      <c r="B55" s="225"/>
      <c r="C55" s="225"/>
      <c r="D55" s="225"/>
      <c r="E55" s="225"/>
      <c r="F55" s="226"/>
      <c r="G55" s="226"/>
      <c r="H55" s="225"/>
      <c r="I55" s="226"/>
      <c r="J55" s="225"/>
      <c r="K55" s="225"/>
      <c r="L55" s="225"/>
      <c r="M55" s="225"/>
      <c r="N55" s="225"/>
      <c r="O55" s="225"/>
      <c r="P55" s="225"/>
      <c r="Q55" s="225"/>
      <c r="R55" s="225"/>
      <c r="S55" s="225"/>
      <c r="T55" s="225"/>
      <c r="U55" s="225"/>
      <c r="V55" s="225"/>
      <c r="W55" s="225"/>
      <c r="X55" s="225"/>
      <c r="Y55" s="225"/>
      <c r="Z55" s="225"/>
      <c r="AA55" s="225"/>
      <c r="AB55" s="225"/>
      <c r="AC55" s="225"/>
      <c r="AD55" s="225"/>
      <c r="AE55" s="225"/>
      <c r="AF55" s="225"/>
      <c r="AG55" s="225"/>
      <c r="AH55" s="225"/>
      <c r="AI55" s="225"/>
      <c r="AJ55" s="225"/>
      <c r="AK55" s="225"/>
    </row>
    <row r="56" spans="1:37" x14ac:dyDescent="0.2">
      <c r="A56" s="225"/>
      <c r="B56" s="225"/>
      <c r="C56" s="225"/>
      <c r="D56" s="225"/>
      <c r="E56" s="225"/>
      <c r="F56" s="226"/>
      <c r="G56" s="226"/>
      <c r="H56" s="225"/>
      <c r="I56" s="226"/>
      <c r="J56" s="225"/>
      <c r="K56" s="225"/>
      <c r="L56" s="225"/>
      <c r="M56" s="225"/>
      <c r="N56" s="225"/>
      <c r="O56" s="225"/>
      <c r="P56" s="225"/>
      <c r="Q56" s="225"/>
      <c r="R56" s="225"/>
      <c r="S56" s="225"/>
      <c r="T56" s="225"/>
      <c r="U56" s="225"/>
      <c r="V56" s="225"/>
      <c r="W56" s="225"/>
      <c r="X56" s="225"/>
      <c r="Y56" s="225"/>
      <c r="Z56" s="225"/>
      <c r="AA56" s="225"/>
      <c r="AB56" s="225"/>
      <c r="AC56" s="225"/>
      <c r="AD56" s="225"/>
      <c r="AE56" s="225"/>
      <c r="AF56" s="225"/>
      <c r="AG56" s="225"/>
      <c r="AH56" s="225"/>
      <c r="AI56" s="225"/>
      <c r="AJ56" s="225"/>
      <c r="AK56" s="225"/>
    </row>
    <row r="57" spans="1:37" x14ac:dyDescent="0.2">
      <c r="A57" s="225"/>
      <c r="B57" s="225"/>
      <c r="C57" s="225"/>
      <c r="D57" s="225"/>
      <c r="E57" s="225"/>
      <c r="F57" s="226"/>
      <c r="G57" s="226"/>
      <c r="H57" s="225"/>
      <c r="I57" s="226"/>
      <c r="J57" s="225"/>
      <c r="K57" s="225"/>
      <c r="L57" s="225"/>
      <c r="M57" s="225"/>
      <c r="N57" s="225"/>
      <c r="O57" s="225"/>
      <c r="P57" s="225"/>
      <c r="Q57" s="225"/>
      <c r="R57" s="225"/>
      <c r="S57" s="225"/>
      <c r="T57" s="225"/>
      <c r="U57" s="225"/>
      <c r="V57" s="225"/>
      <c r="W57" s="225"/>
      <c r="X57" s="225"/>
      <c r="Y57" s="225"/>
      <c r="Z57" s="225"/>
      <c r="AA57" s="225"/>
      <c r="AB57" s="225"/>
      <c r="AC57" s="225"/>
      <c r="AD57" s="225"/>
      <c r="AE57" s="225"/>
      <c r="AF57" s="225"/>
      <c r="AG57" s="225"/>
      <c r="AH57" s="225"/>
      <c r="AI57" s="225"/>
      <c r="AJ57" s="225"/>
      <c r="AK57" s="225"/>
    </row>
    <row r="58" spans="1:37" x14ac:dyDescent="0.2">
      <c r="A58" s="225"/>
      <c r="B58" s="225"/>
      <c r="C58" s="225"/>
      <c r="D58" s="225"/>
      <c r="E58" s="225"/>
      <c r="F58" s="226"/>
      <c r="G58" s="226"/>
      <c r="H58" s="225"/>
      <c r="I58" s="226"/>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25"/>
      <c r="AH58" s="225"/>
      <c r="AI58" s="225"/>
      <c r="AJ58" s="225"/>
      <c r="AK58" s="225"/>
    </row>
    <row r="59" spans="1:37" x14ac:dyDescent="0.2">
      <c r="A59" s="225"/>
      <c r="B59" s="225"/>
      <c r="C59" s="225"/>
      <c r="D59" s="225"/>
      <c r="E59" s="225"/>
      <c r="F59" s="226"/>
      <c r="G59" s="226"/>
      <c r="H59" s="225"/>
      <c r="I59" s="226"/>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row>
    <row r="60" spans="1:37" x14ac:dyDescent="0.2">
      <c r="A60" s="225"/>
      <c r="B60" s="225"/>
      <c r="C60" s="225"/>
      <c r="D60" s="225"/>
      <c r="E60" s="225"/>
      <c r="F60" s="226"/>
      <c r="G60" s="226"/>
      <c r="H60" s="225"/>
      <c r="I60" s="226"/>
      <c r="J60" s="225"/>
      <c r="K60" s="225"/>
      <c r="L60" s="225"/>
      <c r="M60" s="225"/>
      <c r="N60" s="225"/>
      <c r="O60" s="225"/>
      <c r="P60" s="225"/>
      <c r="Q60" s="225"/>
      <c r="R60" s="225"/>
      <c r="S60" s="225"/>
      <c r="T60" s="225"/>
      <c r="U60" s="225"/>
      <c r="V60" s="225"/>
      <c r="W60" s="225"/>
      <c r="X60" s="225"/>
      <c r="Y60" s="225"/>
      <c r="Z60" s="225"/>
      <c r="AA60" s="225"/>
      <c r="AB60" s="225"/>
      <c r="AC60" s="225"/>
      <c r="AD60" s="225"/>
      <c r="AE60" s="225"/>
      <c r="AF60" s="225"/>
      <c r="AG60" s="225"/>
      <c r="AH60" s="225"/>
      <c r="AI60" s="225"/>
      <c r="AJ60" s="225"/>
      <c r="AK60" s="225"/>
    </row>
    <row r="61" spans="1:37" x14ac:dyDescent="0.2">
      <c r="A61" s="225"/>
      <c r="B61" s="225"/>
      <c r="C61" s="225"/>
      <c r="D61" s="225"/>
      <c r="E61" s="225"/>
      <c r="F61" s="226"/>
      <c r="G61" s="226"/>
      <c r="H61" s="225"/>
      <c r="I61" s="226"/>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5"/>
      <c r="AH61" s="225"/>
      <c r="AI61" s="225"/>
      <c r="AJ61" s="225"/>
      <c r="AK61" s="225"/>
    </row>
    <row r="62" spans="1:37" x14ac:dyDescent="0.2">
      <c r="A62" s="225"/>
      <c r="B62" s="225"/>
      <c r="C62" s="225"/>
      <c r="D62" s="225"/>
      <c r="E62" s="225"/>
      <c r="F62" s="226"/>
      <c r="G62" s="226"/>
      <c r="H62" s="225"/>
      <c r="I62" s="226"/>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row>
    <row r="63" spans="1:37" x14ac:dyDescent="0.2">
      <c r="A63" s="225"/>
      <c r="B63" s="225"/>
      <c r="C63" s="225"/>
      <c r="D63" s="225"/>
      <c r="E63" s="225"/>
      <c r="F63" s="226"/>
      <c r="G63" s="226"/>
      <c r="H63" s="225"/>
      <c r="I63" s="226"/>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5"/>
    </row>
    <row r="64" spans="1:37" x14ac:dyDescent="0.2">
      <c r="A64" s="225"/>
      <c r="B64" s="225"/>
      <c r="C64" s="225"/>
      <c r="D64" s="225"/>
      <c r="E64" s="225"/>
      <c r="F64" s="226"/>
      <c r="G64" s="226"/>
      <c r="H64" s="225"/>
      <c r="I64" s="226"/>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c r="AH64" s="225"/>
      <c r="AI64" s="225"/>
      <c r="AJ64" s="225"/>
      <c r="AK64" s="225"/>
    </row>
    <row r="65" spans="1:37" x14ac:dyDescent="0.2">
      <c r="A65" s="225"/>
      <c r="B65" s="225"/>
      <c r="C65" s="225"/>
      <c r="D65" s="225"/>
      <c r="E65" s="225"/>
      <c r="F65" s="226"/>
      <c r="G65" s="226"/>
      <c r="H65" s="225"/>
      <c r="I65" s="226"/>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c r="AG65" s="225"/>
      <c r="AH65" s="225"/>
      <c r="AI65" s="225"/>
      <c r="AJ65" s="225"/>
      <c r="AK65" s="225"/>
    </row>
    <row r="66" spans="1:37" x14ac:dyDescent="0.2">
      <c r="A66" s="225"/>
    </row>
    <row r="67" spans="1:37" x14ac:dyDescent="0.2">
      <c r="A67" s="225"/>
    </row>
    <row r="68" spans="1:37" x14ac:dyDescent="0.2">
      <c r="A68" s="225"/>
    </row>
    <row r="69" spans="1:37" x14ac:dyDescent="0.2">
      <c r="A69" s="225"/>
    </row>
    <row r="70" spans="1:37" x14ac:dyDescent="0.2">
      <c r="A70" s="225"/>
    </row>
    <row r="71" spans="1:37" x14ac:dyDescent="0.2">
      <c r="A71" s="225"/>
    </row>
    <row r="72" spans="1:37" x14ac:dyDescent="0.2">
      <c r="A72" s="225"/>
    </row>
    <row r="73" spans="1:37" x14ac:dyDescent="0.2">
      <c r="A73" s="225"/>
    </row>
    <row r="74" spans="1:37" x14ac:dyDescent="0.2">
      <c r="A74" s="225"/>
    </row>
    <row r="75" spans="1:37" x14ac:dyDescent="0.2">
      <c r="A75" s="225"/>
    </row>
    <row r="76" spans="1:37" x14ac:dyDescent="0.2">
      <c r="A76" s="225"/>
    </row>
    <row r="77" spans="1:37" x14ac:dyDescent="0.2">
      <c r="A77" s="225"/>
    </row>
    <row r="78" spans="1:37" x14ac:dyDescent="0.2">
      <c r="A78" s="225"/>
    </row>
    <row r="79" spans="1:37" x14ac:dyDescent="0.2">
      <c r="A79" s="225"/>
    </row>
    <row r="80" spans="1:37" x14ac:dyDescent="0.2">
      <c r="A80" s="225"/>
    </row>
    <row r="81" spans="1:1" x14ac:dyDescent="0.2">
      <c r="A81" s="225"/>
    </row>
    <row r="82" spans="1:1" x14ac:dyDescent="0.2">
      <c r="A82" s="225"/>
    </row>
    <row r="83" spans="1:1" x14ac:dyDescent="0.2">
      <c r="A83" s="225"/>
    </row>
    <row r="84" spans="1:1" x14ac:dyDescent="0.2">
      <c r="A84" s="225"/>
    </row>
    <row r="85" spans="1:1" x14ac:dyDescent="0.2">
      <c r="A85" s="225"/>
    </row>
    <row r="86" spans="1:1" x14ac:dyDescent="0.2">
      <c r="A86" s="225"/>
    </row>
    <row r="87" spans="1:1" x14ac:dyDescent="0.2">
      <c r="A87" s="225"/>
    </row>
    <row r="88" spans="1:1" x14ac:dyDescent="0.2">
      <c r="A88" s="225"/>
    </row>
    <row r="89" spans="1:1" x14ac:dyDescent="0.2">
      <c r="A89" s="225"/>
    </row>
    <row r="90" spans="1:1" x14ac:dyDescent="0.2">
      <c r="A90" s="225"/>
    </row>
  </sheetData>
  <mergeCells count="4">
    <mergeCell ref="C13:F13"/>
    <mergeCell ref="C14:F14"/>
    <mergeCell ref="C16:F16"/>
    <mergeCell ref="C17:F17"/>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8168889431442"/>
  </sheetPr>
  <dimension ref="B1:I64"/>
  <sheetViews>
    <sheetView showGridLines="0" topLeftCell="A10" zoomScaleNormal="100" workbookViewId="0">
      <selection activeCell="D29" sqref="D29"/>
    </sheetView>
  </sheetViews>
  <sheetFormatPr baseColWidth="10" defaultColWidth="10.6640625" defaultRowHeight="14" x14ac:dyDescent="0.15"/>
  <cols>
    <col min="1" max="1" width="10.6640625" style="2"/>
    <col min="2" max="2" width="40.6640625" style="2" customWidth="1"/>
    <col min="3" max="3" width="12.1640625" style="2" bestFit="1" customWidth="1"/>
    <col min="4" max="4" width="17.1640625" style="46" customWidth="1"/>
    <col min="5" max="5" width="15.6640625" style="46" customWidth="1"/>
    <col min="6" max="6" width="13.6640625" style="46" customWidth="1"/>
    <col min="7" max="8" width="10.6640625" style="46"/>
    <col min="9" max="9" width="11.6640625" style="2" bestFit="1" customWidth="1"/>
    <col min="10" max="16384" width="10.6640625" style="2"/>
  </cols>
  <sheetData>
    <row r="1" spans="2:8" ht="34.25" customHeight="1" thickBot="1" x14ac:dyDescent="0.25">
      <c r="B1" s="81" t="s">
        <v>27</v>
      </c>
      <c r="C1" s="82"/>
      <c r="D1" s="166" t="s">
        <v>197</v>
      </c>
      <c r="E1" s="2"/>
      <c r="F1" s="2"/>
      <c r="G1" s="2"/>
      <c r="H1" s="2"/>
    </row>
    <row r="2" spans="2:8" x14ac:dyDescent="0.15">
      <c r="B2" s="36" t="s">
        <v>28</v>
      </c>
      <c r="C2" s="37"/>
      <c r="D2" s="38"/>
      <c r="E2" s="2"/>
      <c r="F2" s="2"/>
      <c r="G2" s="2"/>
      <c r="H2" s="2"/>
    </row>
    <row r="3" spans="2:8" x14ac:dyDescent="0.15">
      <c r="B3" s="39" t="s">
        <v>29</v>
      </c>
      <c r="D3" s="40"/>
      <c r="E3" s="2"/>
      <c r="F3" s="2"/>
      <c r="G3" s="2"/>
      <c r="H3" s="2"/>
    </row>
    <row r="4" spans="2:8" x14ac:dyDescent="0.15">
      <c r="B4" s="41" t="s">
        <v>30</v>
      </c>
      <c r="D4" s="40"/>
      <c r="E4" s="2"/>
      <c r="F4" s="2"/>
      <c r="G4" s="2"/>
      <c r="H4" s="2"/>
    </row>
    <row r="5" spans="2:8" x14ac:dyDescent="0.15">
      <c r="B5" s="41" t="s">
        <v>31</v>
      </c>
      <c r="D5" s="40"/>
      <c r="E5" s="2"/>
      <c r="F5" s="2"/>
      <c r="G5" s="2"/>
      <c r="H5" s="2"/>
    </row>
    <row r="6" spans="2:8" x14ac:dyDescent="0.15">
      <c r="B6" s="41" t="s">
        <v>32</v>
      </c>
      <c r="D6" s="40"/>
      <c r="E6" s="2"/>
      <c r="F6" s="2"/>
      <c r="G6" s="2"/>
      <c r="H6" s="2"/>
    </row>
    <row r="7" spans="2:8" x14ac:dyDescent="0.15">
      <c r="B7" s="41" t="s">
        <v>157</v>
      </c>
      <c r="D7" s="40"/>
      <c r="E7" s="2"/>
      <c r="F7" s="2"/>
      <c r="G7" s="2"/>
      <c r="H7" s="2"/>
    </row>
    <row r="8" spans="2:8" x14ac:dyDescent="0.15">
      <c r="B8" s="41" t="s">
        <v>91</v>
      </c>
      <c r="D8" s="40"/>
      <c r="E8" s="2"/>
      <c r="F8" s="2"/>
      <c r="G8" s="2"/>
      <c r="H8" s="2"/>
    </row>
    <row r="9" spans="2:8" ht="15" thickBot="1" x14ac:dyDescent="0.2">
      <c r="B9" s="42"/>
      <c r="C9" s="43"/>
      <c r="D9" s="44"/>
      <c r="E9" s="2"/>
      <c r="F9" s="2"/>
      <c r="G9" s="2"/>
      <c r="H9" s="2"/>
    </row>
    <row r="11" spans="2:8" x14ac:dyDescent="0.15">
      <c r="B11" s="45" t="s">
        <v>33</v>
      </c>
      <c r="E11" s="2"/>
      <c r="F11" s="2"/>
      <c r="G11" s="2"/>
      <c r="H11" s="2"/>
    </row>
    <row r="12" spans="2:8" ht="15" thickBot="1" x14ac:dyDescent="0.2">
      <c r="B12" s="1" t="s">
        <v>34</v>
      </c>
      <c r="D12" s="47">
        <f>'CA et Marge Brute'!J5</f>
        <v>0</v>
      </c>
      <c r="E12" s="2"/>
      <c r="F12" s="2"/>
      <c r="G12" s="2"/>
      <c r="H12" s="2"/>
    </row>
    <row r="13" spans="2:8" ht="15" thickBot="1" x14ac:dyDescent="0.2">
      <c r="B13" s="1" t="s">
        <v>35</v>
      </c>
      <c r="C13" s="247">
        <v>11</v>
      </c>
      <c r="D13" s="48"/>
      <c r="E13" s="2"/>
      <c r="F13" s="2"/>
      <c r="G13" s="2"/>
      <c r="H13" s="2"/>
    </row>
    <row r="14" spans="2:8" x14ac:dyDescent="0.15">
      <c r="B14" s="1" t="s">
        <v>36</v>
      </c>
      <c r="D14" s="108">
        <f>D12*C13</f>
        <v>0</v>
      </c>
      <c r="E14" s="2"/>
      <c r="F14" s="2"/>
      <c r="G14" s="2"/>
      <c r="H14" s="2"/>
    </row>
    <row r="15" spans="2:8" ht="17" hidden="1" thickBot="1" x14ac:dyDescent="0.25">
      <c r="B15" s="132" t="s">
        <v>93</v>
      </c>
      <c r="C15" s="131">
        <v>0</v>
      </c>
      <c r="D15" s="110">
        <f>D14*C15</f>
        <v>0</v>
      </c>
      <c r="E15" s="2"/>
      <c r="F15" s="2"/>
      <c r="G15" s="2"/>
      <c r="H15" s="2"/>
    </row>
    <row r="16" spans="2:8" ht="17" hidden="1" thickBot="1" x14ac:dyDescent="0.25">
      <c r="B16" s="132" t="s">
        <v>94</v>
      </c>
      <c r="C16" s="131">
        <v>0</v>
      </c>
      <c r="D16" s="110">
        <f>D14*C16</f>
        <v>0</v>
      </c>
      <c r="E16" s="2"/>
      <c r="F16" s="2"/>
      <c r="G16" s="2"/>
      <c r="H16" s="2"/>
    </row>
    <row r="17" spans="2:9" x14ac:dyDescent="0.15">
      <c r="B17" s="50" t="s">
        <v>147</v>
      </c>
      <c r="D17" s="111">
        <f>'CA et Marge Brute'!K5*C13</f>
        <v>0</v>
      </c>
      <c r="E17" s="51" t="s">
        <v>57</v>
      </c>
    </row>
    <row r="18" spans="2:9" x14ac:dyDescent="0.15">
      <c r="B18" s="50" t="s">
        <v>148</v>
      </c>
      <c r="D18" s="112">
        <f>'Frais Généraux'!E30*12</f>
        <v>0</v>
      </c>
      <c r="E18" s="51" t="s">
        <v>58</v>
      </c>
    </row>
    <row r="19" spans="2:9" x14ac:dyDescent="0.15">
      <c r="B19" s="50" t="s">
        <v>149</v>
      </c>
      <c r="D19" s="113">
        <f>Investissement!H21*12</f>
        <v>0</v>
      </c>
      <c r="E19" s="51"/>
    </row>
    <row r="20" spans="2:9" ht="15" thickBot="1" x14ac:dyDescent="0.2">
      <c r="B20" s="1" t="s">
        <v>37</v>
      </c>
      <c r="D20" s="109">
        <f>D14-D15-D16-D17-D18-D19</f>
        <v>0</v>
      </c>
    </row>
    <row r="21" spans="2:9" ht="15" thickBot="1" x14ac:dyDescent="0.2">
      <c r="B21" s="1"/>
      <c r="D21" s="48"/>
      <c r="E21" s="134" t="s">
        <v>92</v>
      </c>
      <c r="F21" s="134"/>
      <c r="H21" s="2"/>
    </row>
    <row r="22" spans="2:9" ht="17" thickBot="1" x14ac:dyDescent="0.25">
      <c r="B22" s="117" t="s">
        <v>150</v>
      </c>
      <c r="C22" s="168">
        <v>0.20499999999999999</v>
      </c>
      <c r="D22" s="52">
        <f>(D20*C22)+((D20*C22)*0.04)</f>
        <v>0</v>
      </c>
      <c r="E22" s="135">
        <f>715.64*4</f>
        <v>2862.56</v>
      </c>
      <c r="F22" s="135"/>
      <c r="H22" s="2"/>
    </row>
    <row r="23" spans="2:9" x14ac:dyDescent="0.15">
      <c r="B23" s="118" t="s">
        <v>96</v>
      </c>
      <c r="C23" s="119" t="s">
        <v>38</v>
      </c>
      <c r="D23" s="55"/>
    </row>
    <row r="24" spans="2:9" ht="15" thickBot="1" x14ac:dyDescent="0.2">
      <c r="B24" s="53"/>
      <c r="C24" s="54"/>
      <c r="D24" s="55"/>
    </row>
    <row r="25" spans="2:9" ht="15" thickBot="1" x14ac:dyDescent="0.2">
      <c r="B25" s="1" t="s">
        <v>39</v>
      </c>
      <c r="D25" s="56">
        <f>+D20-D22</f>
        <v>0</v>
      </c>
    </row>
    <row r="26" spans="2:9" x14ac:dyDescent="0.15">
      <c r="B26" s="53"/>
      <c r="C26" s="54"/>
    </row>
    <row r="27" spans="2:9" ht="15" thickBot="1" x14ac:dyDescent="0.2">
      <c r="B27" s="57" t="s">
        <v>40</v>
      </c>
      <c r="C27" s="46"/>
      <c r="D27" s="58">
        <f>D25</f>
        <v>0</v>
      </c>
      <c r="H27" s="2"/>
    </row>
    <row r="28" spans="2:9" ht="17" thickBot="1" x14ac:dyDescent="0.25">
      <c r="B28" s="236">
        <v>15820</v>
      </c>
      <c r="C28" s="120">
        <v>0.25</v>
      </c>
      <c r="D28" s="123">
        <f>IF(D25&lt;B28,D25*C28,3955)</f>
        <v>0</v>
      </c>
      <c r="H28" s="2"/>
    </row>
    <row r="29" spans="2:9" ht="17" thickBot="1" x14ac:dyDescent="0.25">
      <c r="B29" s="236">
        <v>27920</v>
      </c>
      <c r="C29" s="120">
        <v>0.4</v>
      </c>
      <c r="D29" s="121">
        <f>IF(D28=3955,IF((AND(D25&gt;=B28,D25&lt;B29)),(D25-B28)*C29,4840),0)</f>
        <v>0</v>
      </c>
      <c r="H29" s="2"/>
      <c r="I29" s="59"/>
    </row>
    <row r="30" spans="2:9" ht="17" thickBot="1" x14ac:dyDescent="0.25">
      <c r="B30" s="236">
        <v>48320</v>
      </c>
      <c r="C30" s="120">
        <v>0.45</v>
      </c>
      <c r="D30" s="121">
        <f>IF(D29=4840,IF((AND(D25&gt;=B29,D25&lt;B30)),(D25-B29)*C30,5652),0)</f>
        <v>0</v>
      </c>
      <c r="H30" s="2"/>
    </row>
    <row r="31" spans="2:9" ht="17" thickBot="1" x14ac:dyDescent="0.25">
      <c r="B31" s="237" t="s">
        <v>183</v>
      </c>
      <c r="C31" s="120">
        <v>0.5</v>
      </c>
      <c r="D31" s="122">
        <f>IF(D30=5652,IF((AND(D25&gt;=B30,D25&lt;B31)),(D25-B30)*C31,""),0)</f>
        <v>0</v>
      </c>
      <c r="H31" s="2"/>
      <c r="I31" s="59"/>
    </row>
    <row r="32" spans="2:9" ht="16" thickBot="1" x14ac:dyDescent="0.2">
      <c r="B32" s="60" t="s">
        <v>41</v>
      </c>
      <c r="C32" s="61"/>
      <c r="D32" s="109">
        <f>SUM(D28:D31)</f>
        <v>0</v>
      </c>
      <c r="H32" s="2"/>
    </row>
    <row r="33" spans="2:8" x14ac:dyDescent="0.15">
      <c r="B33" s="62"/>
      <c r="C33" s="61"/>
      <c r="D33" s="63"/>
      <c r="H33" s="2"/>
    </row>
    <row r="34" spans="2:8" x14ac:dyDescent="0.15">
      <c r="B34" s="64" t="s">
        <v>42</v>
      </c>
      <c r="C34" s="65"/>
      <c r="D34" s="129">
        <v>10160</v>
      </c>
      <c r="E34" s="66" t="s">
        <v>182</v>
      </c>
      <c r="F34" s="67"/>
      <c r="G34" s="2"/>
      <c r="H34" s="2"/>
    </row>
    <row r="35" spans="2:8" x14ac:dyDescent="0.15">
      <c r="B35" s="68" t="s">
        <v>153</v>
      </c>
      <c r="C35" s="65"/>
      <c r="D35" s="133"/>
      <c r="E35" s="66"/>
      <c r="F35" s="67"/>
      <c r="G35" s="2"/>
      <c r="H35" s="2"/>
    </row>
    <row r="36" spans="2:8" ht="15" thickBot="1" x14ac:dyDescent="0.2">
      <c r="B36" s="68" t="s">
        <v>158</v>
      </c>
      <c r="C36" s="65"/>
      <c r="D36" s="133"/>
      <c r="E36" s="50"/>
      <c r="F36" s="67"/>
      <c r="G36" s="2"/>
      <c r="H36" s="2"/>
    </row>
    <row r="37" spans="2:8" ht="15" thickBot="1" x14ac:dyDescent="0.2">
      <c r="B37" s="69" t="s">
        <v>43</v>
      </c>
      <c r="C37" s="70"/>
      <c r="D37" s="130">
        <f>SUM(D34:D36)</f>
        <v>10160</v>
      </c>
      <c r="G37" s="2"/>
      <c r="H37" s="2"/>
    </row>
    <row r="38" spans="2:8" ht="15" thickBot="1" x14ac:dyDescent="0.2">
      <c r="B38" s="72" t="s">
        <v>44</v>
      </c>
      <c r="C38" s="70"/>
      <c r="D38" s="70"/>
      <c r="G38" s="2"/>
      <c r="H38" s="2"/>
    </row>
    <row r="39" spans="2:8" ht="15" thickBot="1" x14ac:dyDescent="0.2">
      <c r="B39" s="238">
        <f>B28</f>
        <v>15820</v>
      </c>
      <c r="C39" s="124">
        <v>0.25</v>
      </c>
      <c r="D39" s="241">
        <f>IF(D37&lt;B39,-D37*C39,-3955)</f>
        <v>-2540</v>
      </c>
      <c r="G39" s="74"/>
      <c r="H39" s="2"/>
    </row>
    <row r="40" spans="2:8" ht="15" thickBot="1" x14ac:dyDescent="0.2">
      <c r="B40" s="238">
        <f t="shared" ref="B40:B42" si="0">B29</f>
        <v>27920</v>
      </c>
      <c r="C40" s="124">
        <v>0.4</v>
      </c>
      <c r="D40" s="73">
        <f>IF(D39=-3955,IF((AND(D37&gt;=B39,D37&lt;B40)),-(D37-B39)*C40,-4840),0)</f>
        <v>0</v>
      </c>
      <c r="E40" s="46">
        <f>IF(D40=-3955,IF((AND(D37&gt;=B39,D37&lt;B41)),-(D37-B40)*C41,-4840),0)</f>
        <v>0</v>
      </c>
      <c r="G40" s="74"/>
      <c r="H40" s="2"/>
    </row>
    <row r="41" spans="2:8" ht="15" thickBot="1" x14ac:dyDescent="0.2">
      <c r="B41" s="238">
        <f t="shared" si="0"/>
        <v>48320</v>
      </c>
      <c r="C41" s="124">
        <v>0.45</v>
      </c>
      <c r="D41" s="73">
        <f>IF(D40=-4840,IF((AND(D37&gt;=B40,D37&lt;B41)),-(D37-B40)*C41,-5652),0)</f>
        <v>0</v>
      </c>
      <c r="G41" s="74"/>
      <c r="H41" s="2"/>
    </row>
    <row r="42" spans="2:8" ht="15" thickBot="1" x14ac:dyDescent="0.2">
      <c r="B42" s="239" t="str">
        <f t="shared" si="0"/>
        <v>≥ 48 320,00 €</v>
      </c>
      <c r="C42" s="124">
        <v>0.5</v>
      </c>
      <c r="D42" s="73">
        <f>IF(D41=-5652,IF((AND(D37&gt;=B41,D37&gt;=B41)),-(D37-B41)*C42,""),0)</f>
        <v>0</v>
      </c>
      <c r="F42" s="59"/>
      <c r="G42" s="74"/>
      <c r="H42" s="2"/>
    </row>
    <row r="43" spans="2:8" ht="15" thickBot="1" x14ac:dyDescent="0.2">
      <c r="B43" s="70"/>
      <c r="C43" s="70"/>
      <c r="D43" s="71">
        <f>SUM(D39:D42)</f>
        <v>-2540</v>
      </c>
      <c r="G43" s="74"/>
      <c r="H43" s="2"/>
    </row>
    <row r="44" spans="2:8" ht="15" thickBot="1" x14ac:dyDescent="0.2">
      <c r="B44" s="62"/>
      <c r="C44" s="61"/>
      <c r="D44" s="63"/>
      <c r="H44" s="2"/>
    </row>
    <row r="45" spans="2:8" ht="16" thickBot="1" x14ac:dyDescent="0.2">
      <c r="B45" s="75" t="s">
        <v>45</v>
      </c>
      <c r="C45" s="61"/>
      <c r="D45" s="49">
        <f>D32+D43</f>
        <v>-2540</v>
      </c>
    </row>
    <row r="46" spans="2:8" x14ac:dyDescent="0.15">
      <c r="D46" s="76">
        <f>IF(D25=0,0,D45/D25)</f>
        <v>0</v>
      </c>
    </row>
    <row r="47" spans="2:8" ht="15" thickBot="1" x14ac:dyDescent="0.2">
      <c r="D47" s="76"/>
    </row>
    <row r="48" spans="2:8" ht="15" thickBot="1" x14ac:dyDescent="0.2">
      <c r="B48" s="77" t="s">
        <v>46</v>
      </c>
      <c r="C48" s="78"/>
      <c r="D48" s="79">
        <f>D25-D45</f>
        <v>2540</v>
      </c>
    </row>
    <row r="49" spans="2:4" ht="15" thickBot="1" x14ac:dyDescent="0.2">
      <c r="B49" s="77" t="s">
        <v>47</v>
      </c>
      <c r="C49" s="78"/>
      <c r="D49" s="79">
        <f>D48/12</f>
        <v>211.66666666666666</v>
      </c>
    </row>
    <row r="50" spans="2:4" x14ac:dyDescent="0.15">
      <c r="D50" s="63"/>
    </row>
    <row r="52" spans="2:4" x14ac:dyDescent="0.15">
      <c r="B52" s="80" t="s">
        <v>48</v>
      </c>
    </row>
    <row r="53" spans="2:4" ht="16" x14ac:dyDescent="0.2">
      <c r="B53" s="125" t="s">
        <v>49</v>
      </c>
      <c r="C53" s="126"/>
      <c r="D53" s="127"/>
    </row>
    <row r="54" spans="2:4" ht="16" x14ac:dyDescent="0.2">
      <c r="B54" s="125" t="s">
        <v>50</v>
      </c>
      <c r="C54" s="240">
        <v>10570</v>
      </c>
      <c r="D54" s="127"/>
    </row>
    <row r="55" spans="2:4" ht="17" x14ac:dyDescent="0.2">
      <c r="B55" s="128" t="s">
        <v>51</v>
      </c>
      <c r="C55" s="240">
        <v>10570</v>
      </c>
      <c r="D55" s="127"/>
    </row>
    <row r="56" spans="2:4" ht="17" x14ac:dyDescent="0.2">
      <c r="B56" s="128" t="s">
        <v>52</v>
      </c>
      <c r="C56" s="240">
        <v>1920</v>
      </c>
      <c r="D56" s="127"/>
    </row>
    <row r="57" spans="2:4" ht="17" x14ac:dyDescent="0.2">
      <c r="B57" s="128" t="s">
        <v>53</v>
      </c>
      <c r="C57" s="240">
        <v>4950</v>
      </c>
      <c r="D57" s="127"/>
    </row>
    <row r="58" spans="2:4" ht="17" x14ac:dyDescent="0.2">
      <c r="B58" s="128" t="s">
        <v>54</v>
      </c>
      <c r="C58" s="240">
        <v>11090</v>
      </c>
      <c r="D58" s="127"/>
    </row>
    <row r="59" spans="2:4" ht="17" x14ac:dyDescent="0.2">
      <c r="B59" s="128" t="s">
        <v>55</v>
      </c>
      <c r="C59" s="240">
        <v>17250</v>
      </c>
      <c r="D59" s="127"/>
    </row>
    <row r="60" spans="2:4" ht="17" x14ac:dyDescent="0.2">
      <c r="B60" s="128" t="s">
        <v>75</v>
      </c>
      <c r="C60" s="240">
        <v>6850</v>
      </c>
      <c r="D60" s="127" t="s">
        <v>56</v>
      </c>
    </row>
    <row r="61" spans="2:4" x14ac:dyDescent="0.15">
      <c r="C61" s="48"/>
    </row>
    <row r="63" spans="2:4" x14ac:dyDescent="0.15">
      <c r="B63" s="243" t="s">
        <v>184</v>
      </c>
      <c r="C63" s="243"/>
      <c r="D63" s="244"/>
    </row>
    <row r="64" spans="2:4" ht="16" x14ac:dyDescent="0.2">
      <c r="B64" s="245" t="s">
        <v>185</v>
      </c>
      <c r="C64" s="243"/>
      <c r="D64" s="244"/>
    </row>
  </sheetData>
  <customSheetViews>
    <customSheetView guid="{9603C630-F6C2-4E40-A837-290F953D6A2E}" showGridLines="0" hiddenRows="1">
      <selection activeCell="I26" sqref="I26"/>
      <pageMargins left="0.75" right="0.75" top="1" bottom="1" header="0.5" footer="0.5"/>
      <pageSetup paperSize="9" orientation="portrait" horizontalDpi="4294967292" verticalDpi="4294967292" r:id="rId1"/>
    </customSheetView>
  </customSheetViews>
  <hyperlinks>
    <hyperlink ref="B64" r:id="rId2" xr:uid="{2E06EECA-F9E7-4EA7-BCBB-8081727C6DF7}"/>
  </hyperlinks>
  <pageMargins left="0.75" right="0.75" top="1" bottom="1" header="0.5" footer="0.5"/>
  <pageSetup paperSize="9" orientation="portrait" horizontalDpi="4294967292" verticalDpi="4294967292" r:id="rId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J19"/>
  <sheetViews>
    <sheetView showGridLines="0" topLeftCell="A2" zoomScaleNormal="100" zoomScalePageLayoutView="125" workbookViewId="0">
      <selection activeCell="C5" sqref="C5"/>
    </sheetView>
  </sheetViews>
  <sheetFormatPr baseColWidth="10" defaultColWidth="10.6640625" defaultRowHeight="14" x14ac:dyDescent="0.2"/>
  <cols>
    <col min="1" max="1" width="6" style="83" customWidth="1"/>
    <col min="2" max="2" width="40.1640625" style="83" customWidth="1"/>
    <col min="3" max="3" width="15.6640625" style="83" bestFit="1" customWidth="1"/>
    <col min="4" max="4" width="8.1640625" style="83" customWidth="1"/>
    <col min="5" max="5" width="41.6640625" style="84" customWidth="1"/>
    <col min="6" max="6" width="10.6640625" style="83"/>
    <col min="7" max="7" width="14.5" style="83" bestFit="1" customWidth="1"/>
    <col min="8" max="16384" width="10.6640625" style="83"/>
  </cols>
  <sheetData>
    <row r="1" spans="2:10" ht="15" thickBot="1" x14ac:dyDescent="0.25"/>
    <row r="2" spans="2:10" ht="31.25" customHeight="1" thickBot="1" x14ac:dyDescent="0.25">
      <c r="B2" s="282" t="s">
        <v>66</v>
      </c>
      <c r="C2" s="283"/>
      <c r="D2" s="283"/>
      <c r="E2" s="284"/>
    </row>
    <row r="3" spans="2:10" s="85" customFormat="1" ht="37.25" customHeight="1" x14ac:dyDescent="0.2">
      <c r="B3" s="285" t="s">
        <v>83</v>
      </c>
      <c r="C3" s="285"/>
      <c r="D3" s="285"/>
      <c r="E3" s="285"/>
    </row>
    <row r="4" spans="2:10" x14ac:dyDescent="0.2">
      <c r="B4" s="84"/>
      <c r="C4" s="86"/>
    </row>
    <row r="5" spans="2:10" ht="15" x14ac:dyDescent="0.2">
      <c r="B5" s="84" t="s">
        <v>23</v>
      </c>
      <c r="C5" s="115">
        <f>Investissement!E21</f>
        <v>0</v>
      </c>
    </row>
    <row r="6" spans="2:10" ht="30" x14ac:dyDescent="0.2">
      <c r="B6" s="189" t="s">
        <v>71</v>
      </c>
      <c r="C6" s="115">
        <f>(SUM('Frais Généraux'!E5:E9)+SUM('Frais Généraux'!E11:E29))*D6</f>
        <v>0</v>
      </c>
      <c r="D6" s="87">
        <v>3</v>
      </c>
      <c r="E6" s="84" t="s">
        <v>25</v>
      </c>
    </row>
    <row r="7" spans="2:10" ht="15" x14ac:dyDescent="0.2">
      <c r="B7" s="84" t="s">
        <v>5</v>
      </c>
      <c r="C7" s="115">
        <f>'CA et Marge Brute'!K5*D7</f>
        <v>0</v>
      </c>
      <c r="D7" s="87">
        <v>1</v>
      </c>
      <c r="E7" s="84" t="s">
        <v>26</v>
      </c>
    </row>
    <row r="8" spans="2:10" ht="15" x14ac:dyDescent="0.2">
      <c r="B8" s="84" t="s">
        <v>8</v>
      </c>
      <c r="C8" s="115">
        <f>'Frais Généraux'!E11*D8</f>
        <v>0</v>
      </c>
      <c r="D8" s="87">
        <v>0</v>
      </c>
      <c r="E8" s="84" t="s">
        <v>24</v>
      </c>
    </row>
    <row r="9" spans="2:10" ht="15" x14ac:dyDescent="0.2">
      <c r="B9" s="84" t="s">
        <v>195</v>
      </c>
      <c r="C9" s="114">
        <v>0</v>
      </c>
    </row>
    <row r="10" spans="2:10" ht="16" thickBot="1" x14ac:dyDescent="0.25">
      <c r="B10" s="84" t="s">
        <v>9</v>
      </c>
      <c r="C10" s="114">
        <v>0</v>
      </c>
    </row>
    <row r="11" spans="2:10" x14ac:dyDescent="0.2">
      <c r="B11" s="137" t="s">
        <v>67</v>
      </c>
      <c r="C11" s="138">
        <f>SUM(C5:C10)</f>
        <v>0</v>
      </c>
      <c r="D11" s="139"/>
      <c r="E11" s="140"/>
    </row>
    <row r="12" spans="2:10" ht="15" thickBot="1" x14ac:dyDescent="0.25">
      <c r="B12" s="141" t="s">
        <v>6</v>
      </c>
      <c r="C12" s="116">
        <f>C11*D12</f>
        <v>0</v>
      </c>
      <c r="D12" s="89">
        <v>1</v>
      </c>
      <c r="E12" s="142"/>
    </row>
    <row r="13" spans="2:10" x14ac:dyDescent="0.2">
      <c r="B13" s="88" t="s">
        <v>7</v>
      </c>
      <c r="C13" s="136">
        <f>C11-C12</f>
        <v>0</v>
      </c>
    </row>
    <row r="14" spans="2:10" x14ac:dyDescent="0.2">
      <c r="C14" s="115"/>
    </row>
    <row r="15" spans="2:10" ht="15" x14ac:dyDescent="0.2">
      <c r="B15" s="88" t="s">
        <v>10</v>
      </c>
      <c r="C15" s="136">
        <f>C13/D15</f>
        <v>0</v>
      </c>
      <c r="D15" s="90">
        <v>1</v>
      </c>
      <c r="E15" s="91" t="s">
        <v>22</v>
      </c>
    </row>
    <row r="16" spans="2:10" x14ac:dyDescent="0.2">
      <c r="B16" s="83" t="s">
        <v>11</v>
      </c>
      <c r="C16" s="115">
        <f>C15/D16</f>
        <v>0</v>
      </c>
      <c r="D16" s="83">
        <v>12</v>
      </c>
      <c r="G16" s="86"/>
      <c r="J16" s="92"/>
    </row>
    <row r="17" spans="2:9" x14ac:dyDescent="0.2">
      <c r="B17" s="88" t="s">
        <v>12</v>
      </c>
      <c r="C17" s="136">
        <f>C13*D17</f>
        <v>0</v>
      </c>
      <c r="D17" s="93">
        <v>0.06</v>
      </c>
    </row>
    <row r="18" spans="2:9" x14ac:dyDescent="0.2">
      <c r="B18" s="83" t="s">
        <v>13</v>
      </c>
      <c r="C18" s="115">
        <f>C17/D16</f>
        <v>0</v>
      </c>
      <c r="H18" s="86"/>
      <c r="I18" s="86"/>
    </row>
    <row r="19" spans="2:9" x14ac:dyDescent="0.2">
      <c r="H19" s="86"/>
      <c r="I19" s="86"/>
    </row>
  </sheetData>
  <customSheetViews>
    <customSheetView guid="{9603C630-F6C2-4E40-A837-290F953D6A2E}" scale="125" showGridLines="0">
      <selection activeCell="E18" sqref="E18"/>
      <pageMargins left="0.75" right="0.75" top="1" bottom="1" header="0.5" footer="0.5"/>
      <pageSetup paperSize="9" orientation="portrait" horizontalDpi="4294967292" verticalDpi="4294967292" r:id="rId1"/>
    </customSheetView>
  </customSheetViews>
  <mergeCells count="2">
    <mergeCell ref="B2:E2"/>
    <mergeCell ref="B3:E3"/>
  </mergeCells>
  <pageMargins left="0.75" right="0.75" top="1" bottom="1" header="0.5" footer="0.5"/>
  <pageSetup paperSize="9" orientation="portrait" horizontalDpi="4294967292" verticalDpi="4294967292" r:id="rId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2:D51"/>
  <sheetViews>
    <sheetView showGridLines="0" tabSelected="1" zoomScaleNormal="100" zoomScalePageLayoutView="125" workbookViewId="0">
      <selection activeCell="D6" sqref="D6"/>
    </sheetView>
  </sheetViews>
  <sheetFormatPr baseColWidth="10" defaultColWidth="10.6640625" defaultRowHeight="14" x14ac:dyDescent="0.15"/>
  <cols>
    <col min="1" max="1" width="9.6640625" style="2" customWidth="1"/>
    <col min="2" max="2" width="39.6640625" style="2" customWidth="1"/>
    <col min="3" max="16384" width="10.6640625" style="2"/>
  </cols>
  <sheetData>
    <row r="2" spans="1:4" ht="18" x14ac:dyDescent="0.2">
      <c r="B2" s="104" t="s">
        <v>89</v>
      </c>
    </row>
    <row r="3" spans="1:4" x14ac:dyDescent="0.15">
      <c r="B3" s="3"/>
    </row>
    <row r="4" spans="1:4" ht="15" x14ac:dyDescent="0.15">
      <c r="B4" s="24" t="s">
        <v>60</v>
      </c>
      <c r="C4" s="14">
        <f>'Frais Généraux'!E30</f>
        <v>0</v>
      </c>
    </row>
    <row r="5" spans="1:4" x14ac:dyDescent="0.15">
      <c r="B5" s="23" t="s">
        <v>64</v>
      </c>
      <c r="C5" s="14">
        <f>'CA et Marge Brute'!F6</f>
        <v>0</v>
      </c>
      <c r="D5" s="2" t="s">
        <v>206</v>
      </c>
    </row>
    <row r="6" spans="1:4" x14ac:dyDescent="0.15">
      <c r="B6" s="34" t="s">
        <v>14</v>
      </c>
      <c r="C6" s="101" t="e">
        <f>C4/C5</f>
        <v>#DIV/0!</v>
      </c>
    </row>
    <row r="7" spans="1:4" x14ac:dyDescent="0.15">
      <c r="B7" s="102" t="s">
        <v>15</v>
      </c>
      <c r="C7" s="103" t="e">
        <f>C6/4</f>
        <v>#DIV/0!</v>
      </c>
    </row>
    <row r="8" spans="1:4" x14ac:dyDescent="0.15">
      <c r="B8" s="102" t="s">
        <v>16</v>
      </c>
      <c r="C8" s="103" t="e">
        <f>C7/5</f>
        <v>#DIV/0!</v>
      </c>
    </row>
    <row r="9" spans="1:4" x14ac:dyDescent="0.15">
      <c r="B9" s="3"/>
      <c r="C9" s="95"/>
    </row>
    <row r="10" spans="1:4" s="4" customFormat="1" x14ac:dyDescent="0.15">
      <c r="B10" s="106" t="s">
        <v>90</v>
      </c>
      <c r="C10" s="94"/>
    </row>
    <row r="11" spans="1:4" x14ac:dyDescent="0.15">
      <c r="C11" s="96"/>
    </row>
    <row r="12" spans="1:4" s="29" customFormat="1" ht="30" x14ac:dyDescent="0.2">
      <c r="A12" s="29" t="s">
        <v>61</v>
      </c>
      <c r="B12" s="29" t="s">
        <v>62</v>
      </c>
      <c r="C12" s="29" t="s">
        <v>63</v>
      </c>
    </row>
    <row r="13" spans="1:4" x14ac:dyDescent="0.15">
      <c r="A13" s="5">
        <v>1</v>
      </c>
      <c r="B13" s="97">
        <f t="shared" ref="B13:B50" si="0">MB_UV*A13</f>
        <v>0</v>
      </c>
      <c r="C13" s="98">
        <f>C4</f>
        <v>0</v>
      </c>
    </row>
    <row r="14" spans="1:4" x14ac:dyDescent="0.15">
      <c r="A14" s="5">
        <v>2</v>
      </c>
      <c r="B14" s="97">
        <f t="shared" si="0"/>
        <v>0</v>
      </c>
      <c r="C14" s="98">
        <f>C13</f>
        <v>0</v>
      </c>
    </row>
    <row r="15" spans="1:4" x14ac:dyDescent="0.15">
      <c r="A15" s="5">
        <v>3</v>
      </c>
      <c r="B15" s="97">
        <f t="shared" si="0"/>
        <v>0</v>
      </c>
      <c r="C15" s="98">
        <f t="shared" ref="C15:C50" si="1">C14</f>
        <v>0</v>
      </c>
    </row>
    <row r="16" spans="1:4" x14ac:dyDescent="0.15">
      <c r="A16" s="5">
        <v>4</v>
      </c>
      <c r="B16" s="97">
        <f t="shared" si="0"/>
        <v>0</v>
      </c>
      <c r="C16" s="98">
        <f t="shared" si="1"/>
        <v>0</v>
      </c>
    </row>
    <row r="17" spans="1:3" x14ac:dyDescent="0.15">
      <c r="A17" s="5">
        <v>5</v>
      </c>
      <c r="B17" s="97">
        <f t="shared" si="0"/>
        <v>0</v>
      </c>
      <c r="C17" s="98">
        <f t="shared" si="1"/>
        <v>0</v>
      </c>
    </row>
    <row r="18" spans="1:3" x14ac:dyDescent="0.15">
      <c r="A18" s="5">
        <v>6</v>
      </c>
      <c r="B18" s="97">
        <f t="shared" si="0"/>
        <v>0</v>
      </c>
      <c r="C18" s="98">
        <f t="shared" si="1"/>
        <v>0</v>
      </c>
    </row>
    <row r="19" spans="1:3" x14ac:dyDescent="0.15">
      <c r="A19" s="5">
        <v>7</v>
      </c>
      <c r="B19" s="97">
        <f t="shared" si="0"/>
        <v>0</v>
      </c>
      <c r="C19" s="98">
        <f t="shared" si="1"/>
        <v>0</v>
      </c>
    </row>
    <row r="20" spans="1:3" x14ac:dyDescent="0.15">
      <c r="A20" s="5">
        <v>8</v>
      </c>
      <c r="B20" s="97">
        <f t="shared" si="0"/>
        <v>0</v>
      </c>
      <c r="C20" s="98">
        <f t="shared" si="1"/>
        <v>0</v>
      </c>
    </row>
    <row r="21" spans="1:3" x14ac:dyDescent="0.15">
      <c r="A21" s="5">
        <v>9</v>
      </c>
      <c r="B21" s="97">
        <f t="shared" si="0"/>
        <v>0</v>
      </c>
      <c r="C21" s="98">
        <f t="shared" si="1"/>
        <v>0</v>
      </c>
    </row>
    <row r="22" spans="1:3" x14ac:dyDescent="0.15">
      <c r="A22" s="5">
        <v>10</v>
      </c>
      <c r="B22" s="97">
        <f t="shared" si="0"/>
        <v>0</v>
      </c>
      <c r="C22" s="98">
        <f t="shared" si="1"/>
        <v>0</v>
      </c>
    </row>
    <row r="23" spans="1:3" x14ac:dyDescent="0.15">
      <c r="A23" s="5">
        <v>11</v>
      </c>
      <c r="B23" s="97">
        <f t="shared" si="0"/>
        <v>0</v>
      </c>
      <c r="C23" s="98">
        <f t="shared" si="1"/>
        <v>0</v>
      </c>
    </row>
    <row r="24" spans="1:3" x14ac:dyDescent="0.15">
      <c r="A24" s="5">
        <v>12</v>
      </c>
      <c r="B24" s="97">
        <f t="shared" si="0"/>
        <v>0</v>
      </c>
      <c r="C24" s="98">
        <f t="shared" si="1"/>
        <v>0</v>
      </c>
    </row>
    <row r="25" spans="1:3" x14ac:dyDescent="0.15">
      <c r="A25" s="5">
        <v>13</v>
      </c>
      <c r="B25" s="97">
        <f t="shared" si="0"/>
        <v>0</v>
      </c>
      <c r="C25" s="98">
        <f t="shared" si="1"/>
        <v>0</v>
      </c>
    </row>
    <row r="26" spans="1:3" x14ac:dyDescent="0.15">
      <c r="A26" s="5">
        <v>14</v>
      </c>
      <c r="B26" s="97">
        <f t="shared" si="0"/>
        <v>0</v>
      </c>
      <c r="C26" s="98">
        <f t="shared" si="1"/>
        <v>0</v>
      </c>
    </row>
    <row r="27" spans="1:3" x14ac:dyDescent="0.15">
      <c r="A27" s="5">
        <v>15</v>
      </c>
      <c r="B27" s="97">
        <f t="shared" si="0"/>
        <v>0</v>
      </c>
      <c r="C27" s="98">
        <f t="shared" si="1"/>
        <v>0</v>
      </c>
    </row>
    <row r="28" spans="1:3" x14ac:dyDescent="0.15">
      <c r="A28" s="5">
        <v>16</v>
      </c>
      <c r="B28" s="97">
        <f t="shared" si="0"/>
        <v>0</v>
      </c>
      <c r="C28" s="98">
        <f t="shared" si="1"/>
        <v>0</v>
      </c>
    </row>
    <row r="29" spans="1:3" x14ac:dyDescent="0.15">
      <c r="A29" s="5">
        <v>17</v>
      </c>
      <c r="B29" s="97">
        <f t="shared" si="0"/>
        <v>0</v>
      </c>
      <c r="C29" s="98">
        <f t="shared" si="1"/>
        <v>0</v>
      </c>
    </row>
    <row r="30" spans="1:3" x14ac:dyDescent="0.15">
      <c r="A30" s="5">
        <v>18</v>
      </c>
      <c r="B30" s="97">
        <f t="shared" si="0"/>
        <v>0</v>
      </c>
      <c r="C30" s="98">
        <f t="shared" si="1"/>
        <v>0</v>
      </c>
    </row>
    <row r="31" spans="1:3" x14ac:dyDescent="0.15">
      <c r="A31" s="5">
        <v>19</v>
      </c>
      <c r="B31" s="97">
        <f t="shared" si="0"/>
        <v>0</v>
      </c>
      <c r="C31" s="98">
        <f t="shared" si="1"/>
        <v>0</v>
      </c>
    </row>
    <row r="32" spans="1:3" x14ac:dyDescent="0.15">
      <c r="A32" s="5">
        <v>20</v>
      </c>
      <c r="B32" s="97">
        <f t="shared" si="0"/>
        <v>0</v>
      </c>
      <c r="C32" s="98">
        <f t="shared" si="1"/>
        <v>0</v>
      </c>
    </row>
    <row r="33" spans="1:3" x14ac:dyDescent="0.15">
      <c r="A33" s="5">
        <v>21</v>
      </c>
      <c r="B33" s="97">
        <f t="shared" si="0"/>
        <v>0</v>
      </c>
      <c r="C33" s="98">
        <f t="shared" si="1"/>
        <v>0</v>
      </c>
    </row>
    <row r="34" spans="1:3" x14ac:dyDescent="0.15">
      <c r="A34" s="5">
        <v>22</v>
      </c>
      <c r="B34" s="97">
        <f t="shared" si="0"/>
        <v>0</v>
      </c>
      <c r="C34" s="98">
        <f t="shared" si="1"/>
        <v>0</v>
      </c>
    </row>
    <row r="35" spans="1:3" x14ac:dyDescent="0.15">
      <c r="A35" s="5">
        <v>23</v>
      </c>
      <c r="B35" s="97">
        <f t="shared" si="0"/>
        <v>0</v>
      </c>
      <c r="C35" s="98">
        <f t="shared" si="1"/>
        <v>0</v>
      </c>
    </row>
    <row r="36" spans="1:3" x14ac:dyDescent="0.15">
      <c r="A36" s="5">
        <v>24</v>
      </c>
      <c r="B36" s="97">
        <f t="shared" si="0"/>
        <v>0</v>
      </c>
      <c r="C36" s="98">
        <f t="shared" si="1"/>
        <v>0</v>
      </c>
    </row>
    <row r="37" spans="1:3" x14ac:dyDescent="0.15">
      <c r="A37" s="5">
        <v>25</v>
      </c>
      <c r="B37" s="97">
        <f t="shared" si="0"/>
        <v>0</v>
      </c>
      <c r="C37" s="98">
        <f t="shared" si="1"/>
        <v>0</v>
      </c>
    </row>
    <row r="38" spans="1:3" x14ac:dyDescent="0.15">
      <c r="A38" s="5">
        <v>26</v>
      </c>
      <c r="B38" s="97">
        <f t="shared" si="0"/>
        <v>0</v>
      </c>
      <c r="C38" s="98">
        <f t="shared" si="1"/>
        <v>0</v>
      </c>
    </row>
    <row r="39" spans="1:3" x14ac:dyDescent="0.15">
      <c r="A39" s="5">
        <v>27</v>
      </c>
      <c r="B39" s="97">
        <f t="shared" si="0"/>
        <v>0</v>
      </c>
      <c r="C39" s="98">
        <f t="shared" si="1"/>
        <v>0</v>
      </c>
    </row>
    <row r="40" spans="1:3" x14ac:dyDescent="0.15">
      <c r="A40" s="5">
        <v>28</v>
      </c>
      <c r="B40" s="97">
        <f t="shared" si="0"/>
        <v>0</v>
      </c>
      <c r="C40" s="98">
        <f t="shared" si="1"/>
        <v>0</v>
      </c>
    </row>
    <row r="41" spans="1:3" x14ac:dyDescent="0.15">
      <c r="A41" s="5">
        <v>29</v>
      </c>
      <c r="B41" s="97">
        <f t="shared" si="0"/>
        <v>0</v>
      </c>
      <c r="C41" s="98">
        <f t="shared" si="1"/>
        <v>0</v>
      </c>
    </row>
    <row r="42" spans="1:3" x14ac:dyDescent="0.15">
      <c r="A42" s="5">
        <v>30</v>
      </c>
      <c r="B42" s="97">
        <f t="shared" si="0"/>
        <v>0</v>
      </c>
      <c r="C42" s="98">
        <f t="shared" si="1"/>
        <v>0</v>
      </c>
    </row>
    <row r="43" spans="1:3" x14ac:dyDescent="0.15">
      <c r="A43" s="5">
        <v>31</v>
      </c>
      <c r="B43" s="97">
        <f t="shared" si="0"/>
        <v>0</v>
      </c>
      <c r="C43" s="98">
        <f t="shared" si="1"/>
        <v>0</v>
      </c>
    </row>
    <row r="44" spans="1:3" x14ac:dyDescent="0.15">
      <c r="A44" s="5">
        <v>32</v>
      </c>
      <c r="B44" s="97">
        <f t="shared" si="0"/>
        <v>0</v>
      </c>
      <c r="C44" s="98">
        <f t="shared" si="1"/>
        <v>0</v>
      </c>
    </row>
    <row r="45" spans="1:3" x14ac:dyDescent="0.15">
      <c r="A45" s="5">
        <v>33</v>
      </c>
      <c r="B45" s="97">
        <f t="shared" si="0"/>
        <v>0</v>
      </c>
      <c r="C45" s="98">
        <f t="shared" si="1"/>
        <v>0</v>
      </c>
    </row>
    <row r="46" spans="1:3" x14ac:dyDescent="0.15">
      <c r="A46" s="5">
        <v>34</v>
      </c>
      <c r="B46" s="97">
        <f t="shared" si="0"/>
        <v>0</v>
      </c>
      <c r="C46" s="98">
        <f t="shared" si="1"/>
        <v>0</v>
      </c>
    </row>
    <row r="47" spans="1:3" x14ac:dyDescent="0.15">
      <c r="A47" s="5">
        <v>35</v>
      </c>
      <c r="B47" s="97">
        <f t="shared" si="0"/>
        <v>0</v>
      </c>
      <c r="C47" s="98">
        <f t="shared" si="1"/>
        <v>0</v>
      </c>
    </row>
    <row r="48" spans="1:3" x14ac:dyDescent="0.15">
      <c r="A48" s="5">
        <v>36</v>
      </c>
      <c r="B48" s="97">
        <f t="shared" si="0"/>
        <v>0</v>
      </c>
      <c r="C48" s="98">
        <f t="shared" si="1"/>
        <v>0</v>
      </c>
    </row>
    <row r="49" spans="1:3" x14ac:dyDescent="0.15">
      <c r="A49" s="5">
        <v>37</v>
      </c>
      <c r="B49" s="97">
        <f t="shared" si="0"/>
        <v>0</v>
      </c>
      <c r="C49" s="98">
        <f t="shared" si="1"/>
        <v>0</v>
      </c>
    </row>
    <row r="50" spans="1:3" x14ac:dyDescent="0.15">
      <c r="A50" s="5">
        <v>38</v>
      </c>
      <c r="B50" s="97">
        <f t="shared" si="0"/>
        <v>0</v>
      </c>
      <c r="C50" s="98">
        <f t="shared" si="1"/>
        <v>0</v>
      </c>
    </row>
    <row r="51" spans="1:3" x14ac:dyDescent="0.15">
      <c r="B51" s="5"/>
    </row>
  </sheetData>
  <customSheetViews>
    <customSheetView guid="{9603C630-F6C2-4E40-A837-290F953D6A2E}" scale="125" showGridLines="0">
      <selection activeCell="C9" sqref="C9"/>
      <pageMargins left="0.75" right="0.75" top="1" bottom="1" header="0.5" footer="0.5"/>
      <pageSetup paperSize="9" orientation="portrait" horizontalDpi="4294967292" verticalDpi="4294967292"/>
    </customSheetView>
  </customSheetView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0A19B864FBFEB4A9648212F5865B6A5" ma:contentTypeVersion="18" ma:contentTypeDescription="Crée un document." ma:contentTypeScope="" ma:versionID="e2726801d374abcafe0d4c0dad5c06ba">
  <xsd:schema xmlns:xsd="http://www.w3.org/2001/XMLSchema" xmlns:xs="http://www.w3.org/2001/XMLSchema" xmlns:p="http://schemas.microsoft.com/office/2006/metadata/properties" xmlns:ns2="a35cb6c6-7570-4b97-b4b2-6a6d170a015a" xmlns:ns3="1b754143-83bb-40de-b9a6-0c9e87881f81" targetNamespace="http://schemas.microsoft.com/office/2006/metadata/properties" ma:root="true" ma:fieldsID="e6a50a555c98c1ddd902e151641736f8" ns2:_="" ns3:_="">
    <xsd:import namespace="a35cb6c6-7570-4b97-b4b2-6a6d170a015a"/>
    <xsd:import namespace="1b754143-83bb-40de-b9a6-0c9e87881f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5cb6c6-7570-4b97-b4b2-6a6d170a01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a0e2db83-468f-46c0-b085-0a655c06c0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754143-83bb-40de-b9a6-0c9e87881f81" elementFormDefault="qualified">
    <xsd:import namespace="http://schemas.microsoft.com/office/2006/documentManagement/types"/>
    <xsd:import namespace="http://schemas.microsoft.com/office/infopath/2007/PartnerControls"/>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aeff8851-af97-4076-871a-37dc401b0110}" ma:internalName="TaxCatchAll" ma:showField="CatchAllData" ma:web="1b754143-83bb-40de-b9a6-0c9e87881f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b754143-83bb-40de-b9a6-0c9e87881f81" xsi:nil="true"/>
    <lcf76f155ced4ddcb4097134ff3c332f xmlns="a35cb6c6-7570-4b97-b4b2-6a6d170a015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8FE43A9-F5F2-4855-840F-9D273C1F9CED}">
  <ds:schemaRefs>
    <ds:schemaRef ds:uri="http://schemas.microsoft.com/sharepoint/v3/contenttype/forms"/>
  </ds:schemaRefs>
</ds:datastoreItem>
</file>

<file path=customXml/itemProps2.xml><?xml version="1.0" encoding="utf-8"?>
<ds:datastoreItem xmlns:ds="http://schemas.openxmlformats.org/officeDocument/2006/customXml" ds:itemID="{8B65F9BD-1D86-43D3-AE8A-A042C18FA2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5cb6c6-7570-4b97-b4b2-6a6d170a015a"/>
    <ds:schemaRef ds:uri="1b754143-83bb-40de-b9a6-0c9e87881f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FD624B-CC17-4F0C-BD6F-324B6BE6B7F4}">
  <ds:schemaRefs>
    <ds:schemaRef ds:uri="http://schemas.microsoft.com/office/2006/metadata/properties"/>
    <ds:schemaRef ds:uri="http://schemas.microsoft.com/office/infopath/2007/PartnerControls"/>
    <ds:schemaRef ds:uri="ddf97a6b-399d-499f-ba7c-0097853cef7c"/>
    <ds:schemaRef ds:uri="683af121-492c-4ab9-91ee-b80a85ec733b"/>
    <ds:schemaRef ds:uri="1b754143-83bb-40de-b9a6-0c9e87881f81"/>
    <ds:schemaRef ds:uri="a35cb6c6-7570-4b97-b4b2-6a6d170a015a"/>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Feuilles de calcul</vt:lpstr>
      </vt:variant>
      <vt:variant>
        <vt:i4>9</vt:i4>
      </vt:variant>
      <vt:variant>
        <vt:lpstr>Plages nommées</vt:lpstr>
      </vt:variant>
      <vt:variant>
        <vt:i4>12</vt:i4>
      </vt:variant>
    </vt:vector>
  </HeadingPairs>
  <TitlesOfParts>
    <vt:vector size="21" baseType="lpstr">
      <vt:lpstr>Intro</vt:lpstr>
      <vt:lpstr>Investissement</vt:lpstr>
      <vt:lpstr>Frais Généraux</vt:lpstr>
      <vt:lpstr>Frais d'approvisionnement</vt:lpstr>
      <vt:lpstr>CA et Marge Brute</vt:lpstr>
      <vt:lpstr>Durée Prod</vt:lpstr>
      <vt:lpstr>Calcul rém indépendant</vt:lpstr>
      <vt:lpstr>fond de roulement</vt:lpstr>
      <vt:lpstr>Seuil de rentabilité</vt:lpstr>
      <vt:lpstr>FG</vt:lpstr>
      <vt:lpstr>MB_UV</vt:lpstr>
      <vt:lpstr>Prod1</vt:lpstr>
      <vt:lpstr>Prod10</vt:lpstr>
      <vt:lpstr>Prod2</vt:lpstr>
      <vt:lpstr>Prod3</vt:lpstr>
      <vt:lpstr>Prod4</vt:lpstr>
      <vt:lpstr>Prod5</vt:lpstr>
      <vt:lpstr>Prod6</vt:lpstr>
      <vt:lpstr>Prod7</vt:lpstr>
      <vt:lpstr>Prod8</vt:lpstr>
      <vt:lpstr>Prod9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 Ftaich</dc:creator>
  <cp:lastModifiedBy>Adel H.Bakkali</cp:lastModifiedBy>
  <dcterms:created xsi:type="dcterms:W3CDTF">2014-06-05T07:36:25Z</dcterms:created>
  <dcterms:modified xsi:type="dcterms:W3CDTF">2025-11-07T10:28:31Z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0x01010050A19B864FBFEB4A9648212F5865B6A5</vt:lpwstr>
  </property>
  <property fmtid="{D5CDD505-2E9C-101B-9397-08002B2CF9AE}" pid="3" name="MediaServiceImageTags">
    <vt:lpwstr/>
  </property>
</Properties>
</file>